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80" yWindow="1260" windowWidth="27640" windowHeight="16320" tabRatio="600" firstSheet="0" activeTab="0" autoFilterDateGrouping="1"/>
  </bookViews>
  <sheets>
    <sheet xmlns:r="http://schemas.openxmlformats.org/officeDocument/2006/relationships" name="INV" sheetId="1" state="visible" r:id="rId1"/>
  </sheets>
  <externalReferences>
    <externalReference xmlns:r="http://schemas.openxmlformats.org/officeDocument/2006/relationships" r:id="rId2"/>
  </externalReferences>
  <definedNames>
    <definedName name="_xlnm.Print_Area" localSheetId="0">'INV'!$A$1:$T$193</definedName>
  </definedNames>
  <calcPr calcId="181029" fullCalcOnLoad="1"/>
</workbook>
</file>

<file path=xl/styles.xml><?xml version="1.0" encoding="utf-8"?>
<styleSheet xmlns="http://schemas.openxmlformats.org/spreadsheetml/2006/main">
  <numFmts count="8">
    <numFmt numFmtId="164" formatCode="_(* #,##0.00_);_(* \(#,##0.00\);_(* \-??_);_(@_)"/>
    <numFmt numFmtId="165" formatCode="_(* #,##0.0000_);_(* \(#,##0.0000\);_(* \-??_);_(@_)"/>
    <numFmt numFmtId="166" formatCode="0.000"/>
    <numFmt numFmtId="167" formatCode="[$-409]mmmm\ d&quot;, &quot;yyyy;@"/>
    <numFmt numFmtId="168" formatCode="#,##0.0000_);[Red]\(#,##0.0000\)"/>
    <numFmt numFmtId="169" formatCode="_(* #,##0.000_);_(* \(#,##0.000\);_(* \-??_);_(@_)"/>
    <numFmt numFmtId="170" formatCode="0000000000"/>
    <numFmt numFmtId="171" formatCode="_(* #,##0_);_(* \(#,##0\);_(* \-??_);_(@_)"/>
  </numFmts>
  <fonts count="12">
    <font>
      <name val="Arial"/>
      <family val="2"/>
      <sz val="10"/>
    </font>
    <font>
      <name val="Cambria"/>
      <family val="1"/>
      <sz val="5"/>
    </font>
    <font>
      <name val="Cambria"/>
      <family val="1"/>
      <sz val="8"/>
    </font>
    <font>
      <name val="Calibri"/>
      <family val="2"/>
      <color theme="1"/>
      <sz val="11"/>
    </font>
    <font>
      <name val="Cambria"/>
      <family val="1"/>
      <sz val="20"/>
      <u val="single"/>
    </font>
    <font>
      <name val="Cambria"/>
      <family val="1"/>
      <b val="1"/>
      <sz val="8"/>
    </font>
    <font>
      <name val="Cambria"/>
      <family val="1"/>
      <b val="1"/>
      <color theme="0" tint="-0.0499893185216834"/>
      <sz val="8"/>
    </font>
    <font>
      <name val="Cambria"/>
      <family val="1"/>
      <color theme="0" tint="-0.0499893185216834"/>
      <sz val="5"/>
    </font>
    <font>
      <name val="Cambria"/>
      <family val="1"/>
      <color theme="0" tint="-0.0499893185216834"/>
      <sz val="8"/>
    </font>
    <font>
      <name val="Calibri"/>
      <family val="2"/>
      <color rgb="FF000000"/>
      <sz val="9"/>
    </font>
    <font>
      <name val="Cambria"/>
      <family val="1"/>
      <color theme="0"/>
      <sz val="8"/>
    </font>
    <font>
      <name val="Calibri"/>
      <family val="2"/>
      <color theme="1"/>
      <sz val="9"/>
    </font>
  </fonts>
  <fills count="6">
    <fill>
      <patternFill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theme="8" tint="0.7998901333658864"/>
        <bgColor rgb="FFDCE6F2"/>
      </patternFill>
    </fill>
    <fill>
      <patternFill patternType="solid">
        <fgColor rgb="FFC00000"/>
        <bgColor rgb="FF9C0006"/>
      </patternFill>
    </fill>
    <fill>
      <patternFill patternType="solid">
        <fgColor theme="9" tint="-0.249977111117893"/>
        <bgColor rgb="FF9C65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3" borderId="0"/>
  </cellStyleXfs>
  <cellXfs count="7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164" fontId="2" fillId="2" borderId="0" applyAlignment="1" pivotButton="0" quotePrefix="0" xfId="1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left" vertical="center"/>
    </xf>
    <xf numFmtId="165" fontId="2" fillId="2" borderId="0" applyAlignment="1" pivotButton="0" quotePrefix="0" xfId="1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/>
    </xf>
    <xf numFmtId="166" fontId="2" fillId="2" borderId="0" applyAlignment="1" pivotButton="0" quotePrefix="0" xfId="0">
      <alignment horizontal="left" vertical="center"/>
    </xf>
    <xf numFmtId="167" fontId="5" fillId="2" borderId="0" applyAlignment="1" pivotButton="0" quotePrefix="0" xfId="0">
      <alignment vertical="center"/>
    </xf>
    <xf numFmtId="0" fontId="5" fillId="2" borderId="1" applyAlignment="1" pivotButton="0" quotePrefix="0" xfId="0">
      <alignment horizontal="right" vertical="center"/>
    </xf>
    <xf numFmtId="167" fontId="5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right" vertical="center"/>
    </xf>
    <xf numFmtId="38" fontId="5" fillId="2" borderId="0" applyAlignment="1" pivotButton="0" quotePrefix="0" xfId="0">
      <alignment vertical="center"/>
    </xf>
    <xf numFmtId="38" fontId="5" fillId="2" borderId="0" applyAlignment="1" pivotButton="0" quotePrefix="0" xfId="0">
      <alignment horizontal="left" vertical="center"/>
    </xf>
    <xf numFmtId="164" fontId="5" fillId="2" borderId="0" applyAlignment="1" pivotButton="0" quotePrefix="0" xfId="1">
      <alignment vertical="center"/>
    </xf>
    <xf numFmtId="40" fontId="5" fillId="2" borderId="0" applyAlignment="1" pivotButton="0" quotePrefix="0" xfId="1">
      <alignment horizontal="left" vertical="center"/>
    </xf>
    <xf numFmtId="40" fontId="5" fillId="2" borderId="0" applyAlignment="1" pivotButton="0" quotePrefix="0" xfId="0">
      <alignment vertical="center"/>
    </xf>
    <xf numFmtId="38" fontId="5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7" fontId="5" fillId="2" borderId="0" applyAlignment="1" pivotButton="0" quotePrefix="0" xfId="0">
      <alignment horizontal="left" vertical="center"/>
    </xf>
    <xf numFmtId="40" fontId="5" fillId="2" borderId="2" applyAlignment="1" pivotButton="0" quotePrefix="0" xfId="0">
      <alignment horizontal="center" vertical="center"/>
    </xf>
    <xf numFmtId="40" fontId="5" fillId="2" borderId="0" applyAlignment="1" pivotButton="0" quotePrefix="0" xfId="0">
      <alignment horizontal="center" vertical="center"/>
    </xf>
    <xf numFmtId="40" fontId="5" fillId="2" borderId="0" applyAlignment="1" pivotButton="0" quotePrefix="0" xfId="0">
      <alignment horizontal="right" vertical="center"/>
    </xf>
    <xf numFmtId="40" fontId="5" fillId="2" borderId="0" applyAlignment="1" pivotButton="0" quotePrefix="0" xfId="0">
      <alignment horizontal="right" vertical="center"/>
    </xf>
    <xf numFmtId="40" fontId="5" fillId="2" borderId="0" applyAlignment="1" pivotButton="0" quotePrefix="0" xfId="0">
      <alignment horizontal="center" vertical="center"/>
    </xf>
    <xf numFmtId="168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1">
      <alignment horizontal="center" vertical="center"/>
    </xf>
    <xf numFmtId="0" fontId="5" fillId="2" borderId="0" applyAlignment="1" pivotButton="0" quotePrefix="0" xfId="0">
      <alignment horizontal="center" vertical="center"/>
    </xf>
    <xf numFmtId="164" fontId="5" fillId="2" borderId="0" applyAlignment="1" pivotButton="0" quotePrefix="0" xfId="1">
      <alignment horizontal="center" vertical="center"/>
    </xf>
    <xf numFmtId="164" fontId="5" fillId="2" borderId="0" applyAlignment="1" pivotButton="0" quotePrefix="0" xfId="1">
      <alignment horizontal="left" vertical="center"/>
    </xf>
    <xf numFmtId="0" fontId="6" fillId="2" borderId="0" applyAlignment="1" pivotButton="0" quotePrefix="0" xfId="0">
      <alignment horizontal="right" vertical="center"/>
    </xf>
    <xf numFmtId="38" fontId="5" fillId="2" borderId="0" applyAlignment="1" pivotButton="0" quotePrefix="0" xfId="0">
      <alignment horizontal="center" vertical="center"/>
    </xf>
    <xf numFmtId="169" fontId="2" fillId="0" borderId="0" applyAlignment="1" pivotButton="0" quotePrefix="0" xfId="1">
      <alignment horizontal="left" vertical="center"/>
    </xf>
    <xf numFmtId="164" fontId="5" fillId="2" borderId="0" applyAlignment="1" pivotButton="0" quotePrefix="0" xfId="1">
      <alignment horizontal="left" vertical="center"/>
    </xf>
    <xf numFmtId="0" fontId="2" fillId="2" borderId="0" applyAlignment="1" pivotButton="0" quotePrefix="0" xfId="0">
      <alignment horizontal="center" vertical="center"/>
    </xf>
    <xf numFmtId="169" fontId="2" fillId="2" borderId="0" applyAlignment="1" pivotButton="0" quotePrefix="0" xfId="1">
      <alignment horizontal="left" vertical="center"/>
    </xf>
    <xf numFmtId="0" fontId="7" fillId="2" borderId="0" applyAlignment="1" pivotButton="0" quotePrefix="0" xfId="0">
      <alignment horizontal="left" vertical="center"/>
    </xf>
    <xf numFmtId="0" fontId="6" fillId="4" borderId="3" applyAlignment="1" pivotButton="0" quotePrefix="0" xfId="0">
      <alignment horizontal="left" vertical="center" wrapText="1"/>
    </xf>
    <xf numFmtId="40" fontId="6" fillId="4" borderId="3" applyAlignment="1" pivotButton="0" quotePrefix="0" xfId="0">
      <alignment horizontal="left" vertical="center" wrapText="1"/>
    </xf>
    <xf numFmtId="0" fontId="6" fillId="4" borderId="3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 wrapText="1"/>
    </xf>
    <xf numFmtId="164" fontId="8" fillId="5" borderId="0" applyAlignment="1" pivotButton="0" quotePrefix="0" xfId="1">
      <alignment horizontal="center" vertical="center"/>
    </xf>
    <xf numFmtId="165" fontId="8" fillId="5" borderId="0" applyAlignment="1" pivotButton="0" quotePrefix="0" xfId="1">
      <alignment horizontal="left" vertical="center"/>
    </xf>
    <xf numFmtId="164" fontId="8" fillId="5" borderId="0" applyAlignment="1" pivotButton="0" quotePrefix="0" xfId="1">
      <alignment horizontal="left" vertical="center"/>
    </xf>
    <xf numFmtId="0" fontId="2" fillId="2" borderId="3" applyAlignment="1" pivotButton="0" quotePrefix="0" xfId="0">
      <alignment horizontal="left" vertical="center"/>
    </xf>
    <xf numFmtId="170" fontId="2" fillId="2" borderId="3" applyAlignment="1" pivotButton="0" quotePrefix="0" xfId="0">
      <alignment horizontal="left" vertical="center"/>
    </xf>
    <xf numFmtId="0" fontId="9" fillId="0" borderId="3" applyAlignment="1" pivotButton="0" quotePrefix="0" xfId="0">
      <alignment horizontal="center" wrapText="1"/>
    </xf>
    <xf numFmtId="166" fontId="2" fillId="2" borderId="3" applyAlignment="1" pivotButton="0" quotePrefix="0" xfId="0">
      <alignment horizontal="left" vertical="center"/>
    </xf>
    <xf numFmtId="2" fontId="2" fillId="0" borderId="3" applyAlignment="1" pivotButton="0" quotePrefix="0" xfId="0">
      <alignment horizontal="left" vertical="center"/>
    </xf>
    <xf numFmtId="4" fontId="2" fillId="2" borderId="3" applyAlignment="1" pivotButton="0" quotePrefix="0" xfId="0">
      <alignment horizontal="left" vertical="center"/>
    </xf>
    <xf numFmtId="4" fontId="2" fillId="0" borderId="3" applyAlignment="1" pivotButton="0" quotePrefix="0" xfId="0">
      <alignment horizontal="left" vertical="center"/>
    </xf>
    <xf numFmtId="164" fontId="2" fillId="2" borderId="3" applyAlignment="1" pivotButton="0" quotePrefix="0" xfId="1">
      <alignment horizontal="left" vertical="center" wrapText="1"/>
    </xf>
    <xf numFmtId="164" fontId="2" fillId="2" borderId="3" applyAlignment="1" pivotButton="0" quotePrefix="0" xfId="1">
      <alignment horizontal="left" vertical="center"/>
    </xf>
    <xf numFmtId="0" fontId="2" fillId="0" borderId="3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1" fontId="2" fillId="2" borderId="0" applyAlignment="1" pivotButton="0" quotePrefix="0" xfId="0">
      <alignment horizontal="left" vertical="center"/>
    </xf>
    <xf numFmtId="169" fontId="2" fillId="0" borderId="0" applyAlignment="1" pivotButton="0" quotePrefix="0" xfId="1">
      <alignment horizontal="left" vertical="center"/>
    </xf>
    <xf numFmtId="0" fontId="10" fillId="2" borderId="0" applyAlignment="1" pivotButton="0" quotePrefix="0" xfId="0">
      <alignment horizontal="left" vertical="center"/>
    </xf>
    <xf numFmtId="2" fontId="2" fillId="2" borderId="0" applyAlignment="1" pivotButton="0" quotePrefix="0" xfId="0">
      <alignment horizontal="left" vertical="center"/>
    </xf>
    <xf numFmtId="166" fontId="2" fillId="2" borderId="0" applyAlignment="1" pivotButton="0" quotePrefix="0" xfId="0">
      <alignment horizontal="center" vertical="center"/>
    </xf>
    <xf numFmtId="170" fontId="2" fillId="0" borderId="3" applyAlignment="1" pivotButton="0" quotePrefix="0" xfId="0">
      <alignment horizontal="left" vertical="center" wrapText="1"/>
    </xf>
    <xf numFmtId="1" fontId="2" fillId="2" borderId="3" applyAlignment="1" pivotButton="0" quotePrefix="0" xfId="0">
      <alignment horizontal="left" vertical="center"/>
    </xf>
    <xf numFmtId="0" fontId="11" fillId="0" borderId="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171" fontId="2" fillId="2" borderId="0" applyAlignment="1" pivotButton="0" quotePrefix="0" xfId="1">
      <alignment horizontal="left" vertical="center"/>
    </xf>
    <xf numFmtId="164" fontId="2" fillId="2" borderId="0" applyAlignment="1" pivotButton="0" quotePrefix="0" xfId="0">
      <alignment horizontal="left" vertical="center"/>
    </xf>
    <xf numFmtId="1" fontId="2" fillId="2" borderId="2" applyAlignment="1" pivotButton="0" quotePrefix="0" xfId="0">
      <alignment horizontal="left" vertical="center"/>
    </xf>
  </cellXfs>
  <cellStyles count="2">
    <cellStyle name="Normal" xfId="0" builtinId="0"/>
    <cellStyle name="20% - Accent5 2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19080</rowOff>
    </from>
    <to>
      <col>3</col>
      <colOff>467280</colOff>
      <row>12</row>
      <rowOff>43200</rowOff>
    </to>
    <pic>
      <nvPicPr>
        <cNvPr id="2" name="Рисунок 2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19080"/>
          <a:ext cx="1813480" cy="157352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15</col>
      <colOff>117000</colOff>
      <row>1</row>
      <rowOff>38160</rowOff>
    </from>
    <to>
      <col>16</col>
      <colOff>1273840</colOff>
      <row>8</row>
      <rowOff>5040</rowOff>
    </to>
    <pic>
      <nvPicPr>
        <cNvPr id="3" name="Рисунок 3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289700" y="165160"/>
          <a:ext cx="2261740" cy="8812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denis/Downloads/OPTIAUTO_APMPARTS_filled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 EXPORT"/>
      <sheetName val="HSSC"/>
      <sheetName val="TOO"/>
      <sheetName val="PIV HSC"/>
      <sheetName val="INV"/>
      <sheetName val="PL"/>
      <sheetName val="COUNTRY LIST1"/>
      <sheetName val="COUNTRY LIST2"/>
      <sheetName val="OTH"/>
      <sheetName val="PROD D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B2" t="str">
            <v>AB</v>
          </cell>
          <cell r="C2" t="str">
            <v>ABH</v>
          </cell>
          <cell r="D2" t="str">
            <v>895</v>
          </cell>
          <cell r="E2" t="str">
            <v>Нет</v>
          </cell>
          <cell r="F2" t="str">
            <v>Республика Абхазия</v>
          </cell>
          <cell r="G2" t="str">
            <v>АБХАЗИЯ</v>
          </cell>
        </row>
        <row r="3">
          <cell r="B3" t="str">
            <v>AU</v>
          </cell>
          <cell r="C3" t="str">
            <v>AUS</v>
          </cell>
          <cell r="D3" t="str">
            <v>036</v>
          </cell>
          <cell r="E3" t="str">
            <v>Нет</v>
          </cell>
          <cell r="G3" t="str">
            <v>АВСТРАЛИЯ</v>
          </cell>
        </row>
        <row r="4">
          <cell r="B4" t="str">
            <v>AT</v>
          </cell>
          <cell r="C4" t="str">
            <v>AUT</v>
          </cell>
          <cell r="D4" t="str">
            <v>040</v>
          </cell>
          <cell r="E4" t="str">
            <v>Нет</v>
          </cell>
          <cell r="F4" t="str">
            <v>Австрийская Республика</v>
          </cell>
          <cell r="G4" t="str">
            <v>АВСТРИЯ</v>
          </cell>
        </row>
        <row r="5">
          <cell r="B5" t="str">
            <v>AZ</v>
          </cell>
          <cell r="C5" t="str">
            <v>AZE</v>
          </cell>
          <cell r="D5" t="str">
            <v>031</v>
          </cell>
          <cell r="E5" t="str">
            <v>Нет</v>
          </cell>
          <cell r="F5" t="str">
            <v>Республика Азербайджан</v>
          </cell>
          <cell r="G5" t="str">
            <v>АЗЕРБАЙДЖАН</v>
          </cell>
        </row>
        <row r="6">
          <cell r="B6" t="str">
            <v>AL</v>
          </cell>
          <cell r="C6" t="str">
            <v>ALB</v>
          </cell>
          <cell r="D6" t="str">
            <v>008</v>
          </cell>
          <cell r="E6" t="str">
            <v>Нет</v>
          </cell>
          <cell r="F6" t="str">
            <v>Республика Албания</v>
          </cell>
          <cell r="G6" t="str">
            <v>АЛБАНИЯ</v>
          </cell>
        </row>
        <row r="7">
          <cell r="B7" t="str">
            <v>DZ</v>
          </cell>
          <cell r="C7" t="str">
            <v>DZA</v>
          </cell>
          <cell r="D7" t="str">
            <v>012</v>
          </cell>
          <cell r="E7" t="str">
            <v>Нет</v>
          </cell>
          <cell r="F7" t="str">
            <v>Алжирская Народная Демократическая Республика</v>
          </cell>
          <cell r="G7" t="str">
            <v>АЛЖИР</v>
          </cell>
        </row>
        <row r="8">
          <cell r="B8" t="str">
            <v>AS</v>
          </cell>
          <cell r="C8" t="str">
            <v>ASM</v>
          </cell>
          <cell r="D8" t="str">
            <v>016</v>
          </cell>
          <cell r="E8" t="str">
            <v>Нет</v>
          </cell>
          <cell r="G8" t="str">
            <v>АМЕРИКАНСКОЕ САМОА</v>
          </cell>
        </row>
        <row r="9">
          <cell r="B9" t="str">
            <v>AI</v>
          </cell>
          <cell r="C9" t="str">
            <v>AIA</v>
          </cell>
          <cell r="D9" t="str">
            <v>660</v>
          </cell>
          <cell r="E9" t="str">
            <v>Нет</v>
          </cell>
          <cell r="G9" t="str">
            <v>АНГИЛЬЯ</v>
          </cell>
        </row>
        <row r="10">
          <cell r="B10" t="str">
            <v>AO</v>
          </cell>
          <cell r="C10" t="str">
            <v>AGO</v>
          </cell>
          <cell r="D10" t="str">
            <v>024</v>
          </cell>
          <cell r="E10" t="str">
            <v>Нет</v>
          </cell>
          <cell r="F10" t="str">
            <v>Республика Ангола</v>
          </cell>
          <cell r="G10" t="str">
            <v>АНГОЛА</v>
          </cell>
        </row>
        <row r="11">
          <cell r="B11" t="str">
            <v>AD</v>
          </cell>
          <cell r="C11" t="str">
            <v>AND</v>
          </cell>
          <cell r="D11" t="str">
            <v>020</v>
          </cell>
          <cell r="E11" t="str">
            <v>Нет</v>
          </cell>
          <cell r="F11" t="str">
            <v>Княжество Андорра</v>
          </cell>
          <cell r="G11" t="str">
            <v>АНДОРРА</v>
          </cell>
        </row>
        <row r="12">
          <cell r="B12" t="str">
            <v>AQ</v>
          </cell>
          <cell r="C12" t="str">
            <v>ATA</v>
          </cell>
          <cell r="D12" t="str">
            <v>010</v>
          </cell>
          <cell r="E12" t="str">
            <v>Нет</v>
          </cell>
          <cell r="G12" t="str">
            <v>АНТАРКТИДА</v>
          </cell>
        </row>
        <row r="13">
          <cell r="B13" t="str">
            <v>AG</v>
          </cell>
          <cell r="C13" t="str">
            <v>ATG</v>
          </cell>
          <cell r="D13" t="str">
            <v>028</v>
          </cell>
          <cell r="E13" t="str">
            <v>Нет</v>
          </cell>
          <cell r="G13" t="str">
            <v>АНТИГУА И БАРБУДА</v>
          </cell>
        </row>
        <row r="14">
          <cell r="B14" t="str">
            <v>AR</v>
          </cell>
          <cell r="C14" t="str">
            <v>ARG</v>
          </cell>
          <cell r="D14" t="str">
            <v>032</v>
          </cell>
          <cell r="E14" t="str">
            <v>Нет</v>
          </cell>
          <cell r="F14" t="str">
            <v>Аргентинская Республика</v>
          </cell>
          <cell r="G14" t="str">
            <v>АРГЕНТИНА</v>
          </cell>
        </row>
        <row r="15">
          <cell r="B15" t="str">
            <v>AM</v>
          </cell>
          <cell r="C15" t="str">
            <v>ARM</v>
          </cell>
          <cell r="D15" t="str">
            <v>051</v>
          </cell>
          <cell r="E15" t="str">
            <v>Да</v>
          </cell>
          <cell r="F15" t="str">
            <v>Республика Армения</v>
          </cell>
          <cell r="G15" t="str">
            <v>АРМЕНИЯ</v>
          </cell>
        </row>
        <row r="16">
          <cell r="B16" t="str">
            <v>AW</v>
          </cell>
          <cell r="C16" t="str">
            <v>ABW</v>
          </cell>
          <cell r="D16" t="str">
            <v>533</v>
          </cell>
          <cell r="E16" t="str">
            <v>Нет</v>
          </cell>
          <cell r="G16" t="str">
            <v>АРУБА</v>
          </cell>
        </row>
        <row r="17">
          <cell r="B17" t="str">
            <v>AF</v>
          </cell>
          <cell r="C17" t="str">
            <v>AFG</v>
          </cell>
          <cell r="D17" t="str">
            <v>004</v>
          </cell>
          <cell r="E17" t="str">
            <v>Нет</v>
          </cell>
          <cell r="F17" t="str">
            <v>Переходное Исламское Государство Афганистан</v>
          </cell>
          <cell r="G17" t="str">
            <v>АФГАНИСТАН</v>
          </cell>
        </row>
        <row r="18">
          <cell r="B18" t="str">
            <v>BS</v>
          </cell>
          <cell r="C18" t="str">
            <v>BHS</v>
          </cell>
          <cell r="D18" t="str">
            <v>044</v>
          </cell>
          <cell r="E18" t="str">
            <v>Нет</v>
          </cell>
          <cell r="F18" t="str">
            <v>Содружество Багамы</v>
          </cell>
          <cell r="G18" t="str">
            <v>БАГАМЫ</v>
          </cell>
        </row>
        <row r="19">
          <cell r="B19" t="str">
            <v>BD</v>
          </cell>
          <cell r="C19" t="str">
            <v>BGD</v>
          </cell>
          <cell r="D19" t="str">
            <v>050</v>
          </cell>
          <cell r="E19" t="str">
            <v>Нет</v>
          </cell>
          <cell r="F19" t="str">
            <v>Народная Республика Бангладеш</v>
          </cell>
          <cell r="G19" t="str">
            <v>БАНГЛАДЕШ</v>
          </cell>
        </row>
        <row r="20">
          <cell r="B20" t="str">
            <v>BB</v>
          </cell>
          <cell r="C20" t="str">
            <v>BRB</v>
          </cell>
          <cell r="D20" t="str">
            <v>052</v>
          </cell>
          <cell r="E20" t="str">
            <v>Нет</v>
          </cell>
          <cell r="G20" t="str">
            <v>БАРБАДОС</v>
          </cell>
        </row>
        <row r="21">
          <cell r="B21" t="str">
            <v>BH</v>
          </cell>
          <cell r="C21" t="str">
            <v>BHR</v>
          </cell>
          <cell r="D21" t="str">
            <v>048</v>
          </cell>
          <cell r="E21" t="str">
            <v>Нет</v>
          </cell>
          <cell r="F21" t="str">
            <v>Королевство Бахрейн</v>
          </cell>
          <cell r="G21" t="str">
            <v>БАХРЕЙН</v>
          </cell>
        </row>
        <row r="22">
          <cell r="B22" t="str">
            <v>BY</v>
          </cell>
          <cell r="C22" t="str">
            <v>BLR</v>
          </cell>
          <cell r="D22" t="str">
            <v>112</v>
          </cell>
          <cell r="E22" t="str">
            <v>Да</v>
          </cell>
          <cell r="F22" t="str">
            <v>Республика Беларусь</v>
          </cell>
          <cell r="G22" t="str">
            <v>БЕЛАРУСЬ</v>
          </cell>
        </row>
        <row r="23">
          <cell r="B23" t="str">
            <v>BZ</v>
          </cell>
          <cell r="C23" t="str">
            <v>BLZ</v>
          </cell>
          <cell r="D23" t="str">
            <v>084</v>
          </cell>
          <cell r="E23" t="str">
            <v>Нет</v>
          </cell>
          <cell r="G23" t="str">
            <v>БЕЛИЗ</v>
          </cell>
        </row>
        <row r="24">
          <cell r="B24" t="str">
            <v>BE</v>
          </cell>
          <cell r="C24" t="str">
            <v>BEL</v>
          </cell>
          <cell r="D24" t="str">
            <v>056</v>
          </cell>
          <cell r="E24" t="str">
            <v>Нет</v>
          </cell>
          <cell r="F24" t="str">
            <v>Королевство Бельгии</v>
          </cell>
          <cell r="G24" t="str">
            <v>БЕЛЬГИЯ</v>
          </cell>
        </row>
        <row r="25">
          <cell r="B25" t="str">
            <v>BJ</v>
          </cell>
          <cell r="C25" t="str">
            <v>BEN</v>
          </cell>
          <cell r="D25" t="str">
            <v>204</v>
          </cell>
          <cell r="E25" t="str">
            <v>Нет</v>
          </cell>
          <cell r="F25" t="str">
            <v>Республика Бенин</v>
          </cell>
          <cell r="G25" t="str">
            <v>БЕНИН</v>
          </cell>
        </row>
        <row r="26">
          <cell r="B26" t="str">
            <v>BM</v>
          </cell>
          <cell r="C26" t="str">
            <v>BMU</v>
          </cell>
          <cell r="D26" t="str">
            <v>060</v>
          </cell>
          <cell r="E26" t="str">
            <v>Нет</v>
          </cell>
          <cell r="G26" t="str">
            <v>БЕРМУДЫ</v>
          </cell>
        </row>
        <row r="27">
          <cell r="B27" t="str">
            <v>BG</v>
          </cell>
          <cell r="C27" t="str">
            <v>BGR</v>
          </cell>
          <cell r="D27" t="str">
            <v>100</v>
          </cell>
          <cell r="E27" t="str">
            <v>Нет</v>
          </cell>
          <cell r="F27" t="str">
            <v>Республика Болгария</v>
          </cell>
          <cell r="G27" t="str">
            <v>БОЛГАРИЯ</v>
          </cell>
        </row>
        <row r="28">
          <cell r="B28" t="str">
            <v>BO</v>
          </cell>
          <cell r="C28" t="str">
            <v>BOL</v>
          </cell>
          <cell r="D28" t="str">
            <v>068</v>
          </cell>
          <cell r="E28" t="str">
            <v>Нет</v>
          </cell>
          <cell r="F28" t="str">
            <v>Многонациональное Государство Боливия</v>
          </cell>
          <cell r="G28" t="str">
            <v>БОЛИВИЯ, МНОГОНАЦИОНАЛЬНОЕ ГОСУДАРСТВО</v>
          </cell>
        </row>
        <row r="29">
          <cell r="B29" t="str">
            <v>BQ</v>
          </cell>
          <cell r="C29" t="str">
            <v>BES</v>
          </cell>
          <cell r="D29" t="str">
            <v>535</v>
          </cell>
          <cell r="E29" t="str">
            <v>Нет</v>
          </cell>
          <cell r="G29" t="str">
            <v>БОНЭЙР, СИНТ-ЭСТАТИУС И САБА</v>
          </cell>
        </row>
        <row r="30">
          <cell r="B30" t="str">
            <v>BA</v>
          </cell>
          <cell r="C30" t="str">
            <v>BIH</v>
          </cell>
          <cell r="D30" t="str">
            <v>070</v>
          </cell>
          <cell r="E30" t="str">
            <v>Нет</v>
          </cell>
          <cell r="G30" t="str">
            <v>БОСНИЯ И ГЕРЦЕГОВИНА</v>
          </cell>
        </row>
        <row r="31">
          <cell r="B31" t="str">
            <v>BW</v>
          </cell>
          <cell r="C31" t="str">
            <v>BWA</v>
          </cell>
          <cell r="D31" t="str">
            <v>072</v>
          </cell>
          <cell r="E31" t="str">
            <v>Нет</v>
          </cell>
          <cell r="F31" t="str">
            <v>Республика Ботсвана</v>
          </cell>
          <cell r="G31" t="str">
            <v>БОТСВАНА</v>
          </cell>
        </row>
        <row r="32">
          <cell r="B32" t="str">
            <v>BR</v>
          </cell>
          <cell r="C32" t="str">
            <v>BRA</v>
          </cell>
          <cell r="D32" t="str">
            <v>076</v>
          </cell>
          <cell r="E32" t="str">
            <v>Нет</v>
          </cell>
          <cell r="F32" t="str">
            <v>Федеративная Республика Бразилия</v>
          </cell>
          <cell r="G32" t="str">
            <v>БРАЗИЛИЯ</v>
          </cell>
        </row>
        <row r="33">
          <cell r="B33" t="str">
            <v>IO</v>
          </cell>
          <cell r="C33" t="str">
            <v>IOT</v>
          </cell>
          <cell r="D33" t="str">
            <v>086</v>
          </cell>
          <cell r="E33" t="str">
            <v>Нет</v>
          </cell>
          <cell r="G33" t="str">
            <v>БРИТАНСКАЯ ТЕРРИТОРИЯ В ИНДИЙСКОМ ОКЕАНЕ</v>
          </cell>
        </row>
        <row r="34">
          <cell r="B34" t="str">
            <v>BN</v>
          </cell>
          <cell r="C34" t="str">
            <v>BRN</v>
          </cell>
          <cell r="D34" t="str">
            <v>096</v>
          </cell>
          <cell r="E34" t="str">
            <v>Нет</v>
          </cell>
          <cell r="G34" t="str">
            <v>БРУНЕЙ-ДАРУССАЛАМ</v>
          </cell>
        </row>
        <row r="35">
          <cell r="B35" t="str">
            <v>BF</v>
          </cell>
          <cell r="C35" t="str">
            <v>BFA</v>
          </cell>
          <cell r="D35" t="str">
            <v>854</v>
          </cell>
          <cell r="E35" t="str">
            <v>Нет</v>
          </cell>
          <cell r="G35" t="str">
            <v>БУРКИНА-ФАСО</v>
          </cell>
        </row>
        <row r="36">
          <cell r="B36" t="str">
            <v>BI</v>
          </cell>
          <cell r="C36" t="str">
            <v>BDI</v>
          </cell>
          <cell r="D36" t="str">
            <v>108</v>
          </cell>
          <cell r="E36" t="str">
            <v>Нет</v>
          </cell>
          <cell r="F36" t="str">
            <v>Республика Бурунди</v>
          </cell>
          <cell r="G36" t="str">
            <v>БУРУНДИ</v>
          </cell>
        </row>
        <row r="37">
          <cell r="B37" t="str">
            <v>BT</v>
          </cell>
          <cell r="C37" t="str">
            <v>BTN</v>
          </cell>
          <cell r="D37" t="str">
            <v>064</v>
          </cell>
          <cell r="E37" t="str">
            <v>Нет</v>
          </cell>
          <cell r="F37" t="str">
            <v>Королевство Бутан</v>
          </cell>
          <cell r="G37" t="str">
            <v>БУТАН</v>
          </cell>
        </row>
        <row r="38">
          <cell r="B38" t="str">
            <v>VU</v>
          </cell>
          <cell r="C38" t="str">
            <v>VUT</v>
          </cell>
          <cell r="D38" t="str">
            <v>548</v>
          </cell>
          <cell r="E38" t="str">
            <v>Нет</v>
          </cell>
          <cell r="F38" t="str">
            <v>Республика Вануату</v>
          </cell>
          <cell r="G38" t="str">
            <v>ВАНУАТУ</v>
          </cell>
        </row>
        <row r="39">
          <cell r="B39" t="str">
            <v>HU</v>
          </cell>
          <cell r="C39" t="str">
            <v>HUN</v>
          </cell>
          <cell r="D39" t="str">
            <v>348</v>
          </cell>
          <cell r="E39" t="str">
            <v>Нет</v>
          </cell>
          <cell r="F39" t="str">
            <v>Венгрия</v>
          </cell>
          <cell r="G39" t="str">
            <v>ВЕНГРИЯ</v>
          </cell>
        </row>
        <row r="40">
          <cell r="B40" t="str">
            <v>VE</v>
          </cell>
          <cell r="C40" t="str">
            <v>VEN</v>
          </cell>
          <cell r="D40" t="str">
            <v>862</v>
          </cell>
          <cell r="E40" t="str">
            <v>Нет</v>
          </cell>
          <cell r="F40" t="str">
            <v>Боливарианская Республика Венесуэла</v>
          </cell>
          <cell r="G40" t="str">
            <v>ВЕНЕСУЭЛА БОЛИВАРИАНСКАЯ РЕСПУБЛИКА</v>
          </cell>
        </row>
        <row r="41">
          <cell r="B41" t="str">
            <v>VG</v>
          </cell>
          <cell r="C41" t="str">
            <v>VGB</v>
          </cell>
          <cell r="D41" t="str">
            <v>092</v>
          </cell>
          <cell r="E41" t="str">
            <v>Нет</v>
          </cell>
          <cell r="F41" t="str">
            <v>Британские Виргинские острова</v>
          </cell>
          <cell r="G41" t="str">
            <v>ВИРГИНСКИЕ ОСТРОВА (БРИТАНСКИЕ)</v>
          </cell>
        </row>
        <row r="42">
          <cell r="B42" t="str">
            <v>VI</v>
          </cell>
          <cell r="C42" t="str">
            <v>VIR</v>
          </cell>
          <cell r="D42" t="str">
            <v>850</v>
          </cell>
          <cell r="E42" t="str">
            <v>Нет</v>
          </cell>
          <cell r="F42" t="str">
            <v>Виргинские острова Соединенных Штатов</v>
          </cell>
          <cell r="G42" t="str">
            <v>ВИРГИНСКИЕ ОСТРОВА (США)</v>
          </cell>
        </row>
        <row r="43">
          <cell r="B43" t="str">
            <v>TL</v>
          </cell>
          <cell r="C43" t="str">
            <v>TLS</v>
          </cell>
          <cell r="D43" t="str">
            <v>626</v>
          </cell>
          <cell r="E43" t="str">
            <v>Нет</v>
          </cell>
          <cell r="F43" t="str">
            <v>Демократическая Республика Тимор-Лесте</v>
          </cell>
          <cell r="G43" t="str">
            <v>ТИМОР-ЛЕСТЕ</v>
          </cell>
        </row>
        <row r="44">
          <cell r="B44" t="str">
            <v>VN</v>
          </cell>
          <cell r="C44" t="str">
            <v>VNM</v>
          </cell>
          <cell r="D44" t="str">
            <v>704</v>
          </cell>
          <cell r="E44" t="str">
            <v>Нет</v>
          </cell>
          <cell r="F44" t="str">
            <v>Социалистическая Республика Вьетнам</v>
          </cell>
          <cell r="G44" t="str">
            <v>ВЬЕТНАМ</v>
          </cell>
        </row>
        <row r="45">
          <cell r="B45" t="str">
            <v>GA</v>
          </cell>
          <cell r="C45" t="str">
            <v>GAB</v>
          </cell>
          <cell r="D45" t="str">
            <v>266</v>
          </cell>
          <cell r="E45" t="str">
            <v>Нет</v>
          </cell>
          <cell r="F45" t="str">
            <v>Габонская Республика</v>
          </cell>
          <cell r="G45" t="str">
            <v>ГАБОН</v>
          </cell>
        </row>
        <row r="46">
          <cell r="B46" t="str">
            <v>HT</v>
          </cell>
          <cell r="C46" t="str">
            <v>HTI</v>
          </cell>
          <cell r="D46" t="str">
            <v>332</v>
          </cell>
          <cell r="E46" t="str">
            <v>Нет</v>
          </cell>
          <cell r="F46" t="str">
            <v>Республика Гаити</v>
          </cell>
          <cell r="G46" t="str">
            <v>ГАИТИ</v>
          </cell>
        </row>
        <row r="47">
          <cell r="B47" t="str">
            <v>GY</v>
          </cell>
          <cell r="C47" t="str">
            <v>GUY</v>
          </cell>
          <cell r="D47" t="str">
            <v>328</v>
          </cell>
          <cell r="E47" t="str">
            <v>Нет</v>
          </cell>
          <cell r="F47" t="str">
            <v>Кооперативная Республика Гайана</v>
          </cell>
          <cell r="G47" t="str">
            <v>ГАЙАНА</v>
          </cell>
        </row>
        <row r="48">
          <cell r="B48" t="str">
            <v>GM</v>
          </cell>
          <cell r="C48" t="str">
            <v>GMB</v>
          </cell>
          <cell r="D48" t="str">
            <v>270</v>
          </cell>
          <cell r="E48" t="str">
            <v>Нет</v>
          </cell>
          <cell r="F48" t="str">
            <v>Исламская Республика Гамбия</v>
          </cell>
          <cell r="G48" t="str">
            <v>ГАМБИЯ</v>
          </cell>
        </row>
        <row r="49">
          <cell r="B49" t="str">
            <v>GH</v>
          </cell>
          <cell r="C49" t="str">
            <v>GHA</v>
          </cell>
          <cell r="D49" t="str">
            <v>288</v>
          </cell>
          <cell r="E49" t="str">
            <v>Нет</v>
          </cell>
          <cell r="F49" t="str">
            <v>Республика Гана</v>
          </cell>
          <cell r="G49" t="str">
            <v>ГАНА</v>
          </cell>
        </row>
        <row r="50">
          <cell r="B50" t="str">
            <v>GP</v>
          </cell>
          <cell r="C50" t="str">
            <v>GLP</v>
          </cell>
          <cell r="D50" t="str">
            <v>312</v>
          </cell>
          <cell r="E50" t="str">
            <v>Нет</v>
          </cell>
          <cell r="G50" t="str">
            <v>ГВАДЕЛУПА</v>
          </cell>
        </row>
        <row r="51">
          <cell r="B51" t="str">
            <v>GT</v>
          </cell>
          <cell r="C51" t="str">
            <v>GTM</v>
          </cell>
          <cell r="D51" t="str">
            <v>320</v>
          </cell>
          <cell r="E51" t="str">
            <v>Нет</v>
          </cell>
          <cell r="F51" t="str">
            <v>Республика Гватемала</v>
          </cell>
          <cell r="G51" t="str">
            <v>ГВАТЕМАЛА</v>
          </cell>
        </row>
        <row r="52">
          <cell r="B52" t="str">
            <v>GN</v>
          </cell>
          <cell r="C52" t="str">
            <v>GIN</v>
          </cell>
          <cell r="D52" t="str">
            <v>324</v>
          </cell>
          <cell r="E52" t="str">
            <v>Нет</v>
          </cell>
          <cell r="F52" t="str">
            <v>Гвинейская Республика</v>
          </cell>
          <cell r="G52" t="str">
            <v>ГВИНЕЯ</v>
          </cell>
        </row>
        <row r="53">
          <cell r="B53" t="str">
            <v>GW</v>
          </cell>
          <cell r="C53" t="str">
            <v>GNB</v>
          </cell>
          <cell r="D53" t="str">
            <v>624</v>
          </cell>
          <cell r="E53" t="str">
            <v>Нет</v>
          </cell>
          <cell r="F53" t="str">
            <v>Республика Гвинея-Бисау</v>
          </cell>
          <cell r="G53" t="str">
            <v>ГВИНЕЯ-БИСАУ</v>
          </cell>
        </row>
        <row r="54">
          <cell r="B54" t="str">
            <v>DE</v>
          </cell>
          <cell r="C54" t="str">
            <v>DEU</v>
          </cell>
          <cell r="D54" t="str">
            <v>276</v>
          </cell>
          <cell r="E54" t="str">
            <v>Нет</v>
          </cell>
          <cell r="F54" t="str">
            <v>Федеративная Республика Германия</v>
          </cell>
          <cell r="G54" t="str">
            <v>ГЕРМАНИЯ</v>
          </cell>
        </row>
        <row r="55">
          <cell r="B55" t="str">
            <v>GG</v>
          </cell>
          <cell r="C55" t="str">
            <v>GGY</v>
          </cell>
          <cell r="D55" t="str">
            <v>831</v>
          </cell>
          <cell r="E55" t="str">
            <v>Нет</v>
          </cell>
          <cell r="G55" t="str">
            <v>ГЕРНСИ</v>
          </cell>
        </row>
        <row r="56">
          <cell r="B56" t="str">
            <v>GI</v>
          </cell>
          <cell r="C56" t="str">
            <v>GIB</v>
          </cell>
          <cell r="D56" t="str">
            <v>292</v>
          </cell>
          <cell r="E56" t="str">
            <v>Нет</v>
          </cell>
          <cell r="G56" t="str">
            <v>ГИБРАЛТАР</v>
          </cell>
        </row>
        <row r="57">
          <cell r="B57" t="str">
            <v>HN</v>
          </cell>
          <cell r="C57" t="str">
            <v>HND</v>
          </cell>
          <cell r="D57" t="str">
            <v>340</v>
          </cell>
          <cell r="E57" t="str">
            <v>Нет</v>
          </cell>
          <cell r="F57" t="str">
            <v>Республика Гондурас</v>
          </cell>
          <cell r="G57" t="str">
            <v>ГОНДУРАС</v>
          </cell>
        </row>
        <row r="58">
          <cell r="B58" t="str">
            <v>HK</v>
          </cell>
          <cell r="C58" t="str">
            <v>HKG</v>
          </cell>
          <cell r="D58" t="str">
            <v>344</v>
          </cell>
          <cell r="E58" t="str">
            <v>Нет</v>
          </cell>
          <cell r="F58" t="str">
            <v>Специальный административный регион Китая Гонконг</v>
          </cell>
          <cell r="G58" t="str">
            <v>ГОНКОНГ</v>
          </cell>
        </row>
        <row r="59">
          <cell r="B59" t="str">
            <v>GD</v>
          </cell>
          <cell r="C59" t="str">
            <v>GRD</v>
          </cell>
          <cell r="D59" t="str">
            <v>308</v>
          </cell>
          <cell r="E59" t="str">
            <v>Нет</v>
          </cell>
          <cell r="G59" t="str">
            <v>ГРЕНАДА</v>
          </cell>
        </row>
        <row r="60">
          <cell r="B60" t="str">
            <v>GL</v>
          </cell>
          <cell r="C60" t="str">
            <v>GRL</v>
          </cell>
          <cell r="D60" t="str">
            <v>304</v>
          </cell>
          <cell r="E60" t="str">
            <v>Нет</v>
          </cell>
          <cell r="G60" t="str">
            <v>ГРЕНЛАНДИЯ</v>
          </cell>
        </row>
        <row r="61">
          <cell r="B61" t="str">
            <v>GR</v>
          </cell>
          <cell r="C61" t="str">
            <v>GRC</v>
          </cell>
          <cell r="D61" t="str">
            <v>300</v>
          </cell>
          <cell r="E61" t="str">
            <v>Нет</v>
          </cell>
          <cell r="F61" t="str">
            <v>Греческая Республика</v>
          </cell>
          <cell r="G61" t="str">
            <v>ГРЕЦИЯ</v>
          </cell>
        </row>
        <row r="62">
          <cell r="B62" t="str">
            <v>GE</v>
          </cell>
          <cell r="C62" t="str">
            <v>GEO</v>
          </cell>
          <cell r="D62" t="str">
            <v>268</v>
          </cell>
          <cell r="E62" t="str">
            <v>Нет</v>
          </cell>
          <cell r="G62" t="str">
            <v>ГРУЗИЯ</v>
          </cell>
        </row>
        <row r="63">
          <cell r="B63" t="str">
            <v>GU</v>
          </cell>
          <cell r="C63" t="str">
            <v>GUM</v>
          </cell>
          <cell r="D63" t="str">
            <v>316</v>
          </cell>
          <cell r="E63" t="str">
            <v>Нет</v>
          </cell>
          <cell r="G63" t="str">
            <v>ГУАМ</v>
          </cell>
        </row>
        <row r="64">
          <cell r="B64" t="str">
            <v>DK</v>
          </cell>
          <cell r="C64" t="str">
            <v>DNK</v>
          </cell>
          <cell r="D64" t="str">
            <v>208</v>
          </cell>
          <cell r="E64" t="str">
            <v>Нет</v>
          </cell>
          <cell r="F64" t="str">
            <v>Королевство Дания</v>
          </cell>
          <cell r="G64" t="str">
            <v>ДАНИЯ</v>
          </cell>
        </row>
        <row r="65">
          <cell r="B65" t="str">
            <v>JE</v>
          </cell>
          <cell r="C65" t="str">
            <v>JEY</v>
          </cell>
          <cell r="D65" t="str">
            <v>832</v>
          </cell>
          <cell r="E65" t="str">
            <v>Нет</v>
          </cell>
          <cell r="G65" t="str">
            <v>ДЖЕРСИ</v>
          </cell>
        </row>
        <row r="66">
          <cell r="B66" t="str">
            <v>DJ</v>
          </cell>
          <cell r="C66" t="str">
            <v>DJI</v>
          </cell>
          <cell r="D66" t="str">
            <v>262</v>
          </cell>
          <cell r="E66" t="str">
            <v>Нет</v>
          </cell>
          <cell r="F66" t="str">
            <v>Республика Джибути</v>
          </cell>
          <cell r="G66" t="str">
            <v>ДЖИБУТИ</v>
          </cell>
        </row>
        <row r="67">
          <cell r="B67" t="str">
            <v>DN</v>
          </cell>
          <cell r="C67" t="str">
            <v>DNR</v>
          </cell>
          <cell r="D67" t="str">
            <v>897</v>
          </cell>
          <cell r="E67" t="str">
            <v>Нет</v>
          </cell>
          <cell r="F67" t="str">
            <v>Донецкая Народная Республика</v>
          </cell>
          <cell r="G67" t="str">
            <v>ДОНЕЦКАЯ НАРОДНАЯ РЕСПУБЛИКА</v>
          </cell>
        </row>
        <row r="68">
          <cell r="B68" t="str">
            <v>DM</v>
          </cell>
          <cell r="C68" t="str">
            <v>DMA</v>
          </cell>
          <cell r="D68" t="str">
            <v>212</v>
          </cell>
          <cell r="E68" t="str">
            <v>Нет</v>
          </cell>
          <cell r="F68" t="str">
            <v>Содружество Доминики</v>
          </cell>
          <cell r="G68" t="str">
            <v>ДОМИНИКА</v>
          </cell>
        </row>
        <row r="69">
          <cell r="B69" t="str">
            <v>DO</v>
          </cell>
          <cell r="C69" t="str">
            <v>DOM</v>
          </cell>
          <cell r="D69" t="str">
            <v>214</v>
          </cell>
          <cell r="E69" t="str">
            <v>Нет</v>
          </cell>
          <cell r="G69" t="str">
            <v>ДОМИНИКАНСКАЯ РЕСПУБЛИКА</v>
          </cell>
        </row>
        <row r="70">
          <cell r="B70" t="str">
            <v>EG</v>
          </cell>
          <cell r="C70" t="str">
            <v>EGY</v>
          </cell>
          <cell r="D70" t="str">
            <v>818</v>
          </cell>
          <cell r="E70" t="str">
            <v>Нет</v>
          </cell>
          <cell r="F70" t="str">
            <v>Арабская Республика Египет</v>
          </cell>
          <cell r="G70" t="str">
            <v>ЕГИПЕТ</v>
          </cell>
        </row>
        <row r="71">
          <cell r="B71" t="str">
            <v>ZM</v>
          </cell>
          <cell r="C71" t="str">
            <v>ZMB</v>
          </cell>
          <cell r="D71" t="str">
            <v>894</v>
          </cell>
          <cell r="E71" t="str">
            <v>Нет</v>
          </cell>
          <cell r="F71" t="str">
            <v>Республика Замбия</v>
          </cell>
          <cell r="G71" t="str">
            <v>ЗАМБИЯ</v>
          </cell>
        </row>
        <row r="72">
          <cell r="B72" t="str">
            <v>EH</v>
          </cell>
          <cell r="C72" t="str">
            <v>ESH</v>
          </cell>
          <cell r="D72" t="str">
            <v>732</v>
          </cell>
          <cell r="E72" t="str">
            <v>Нет</v>
          </cell>
          <cell r="G72" t="str">
            <v>ЗАПАДНАЯ САХАРА</v>
          </cell>
        </row>
        <row r="73">
          <cell r="B73" t="str">
            <v>ZW</v>
          </cell>
          <cell r="C73" t="str">
            <v>ZWE</v>
          </cell>
          <cell r="D73" t="str">
            <v>716</v>
          </cell>
          <cell r="E73" t="str">
            <v>Нет</v>
          </cell>
          <cell r="F73" t="str">
            <v>Республика Зимбабве</v>
          </cell>
          <cell r="G73" t="str">
            <v>ЗИМБАБВЕ</v>
          </cell>
        </row>
        <row r="74">
          <cell r="B74" t="str">
            <v>IL</v>
          </cell>
          <cell r="C74" t="str">
            <v>ISR</v>
          </cell>
          <cell r="D74" t="str">
            <v>376</v>
          </cell>
          <cell r="E74" t="str">
            <v>Нет</v>
          </cell>
          <cell r="F74" t="str">
            <v>Государство Израиль</v>
          </cell>
          <cell r="G74" t="str">
            <v>ИЗРАИЛЬ</v>
          </cell>
        </row>
        <row r="75">
          <cell r="B75" t="str">
            <v>IN</v>
          </cell>
          <cell r="C75" t="str">
            <v>IND</v>
          </cell>
          <cell r="D75" t="str">
            <v>356</v>
          </cell>
          <cell r="E75" t="str">
            <v>Нет</v>
          </cell>
          <cell r="F75" t="str">
            <v>Республика Индия</v>
          </cell>
          <cell r="G75" t="str">
            <v>ИНДИЯ</v>
          </cell>
        </row>
        <row r="76">
          <cell r="B76" t="str">
            <v>ID</v>
          </cell>
          <cell r="C76" t="str">
            <v>IDN</v>
          </cell>
          <cell r="D76" t="str">
            <v>360</v>
          </cell>
          <cell r="E76" t="str">
            <v>Нет</v>
          </cell>
          <cell r="F76" t="str">
            <v>Республика Индонезия</v>
          </cell>
          <cell r="G76" t="str">
            <v>ИНДОНЕЗИЯ</v>
          </cell>
        </row>
        <row r="77">
          <cell r="B77" t="str">
            <v>JO</v>
          </cell>
          <cell r="C77" t="str">
            <v>JOR</v>
          </cell>
          <cell r="D77" t="str">
            <v>400</v>
          </cell>
          <cell r="E77" t="str">
            <v>Нет</v>
          </cell>
          <cell r="F77" t="str">
            <v>Иорданское Хашимитское Королевство</v>
          </cell>
          <cell r="G77" t="str">
            <v>ИОРДАНИЯ</v>
          </cell>
        </row>
        <row r="78">
          <cell r="B78" t="str">
            <v>IQ</v>
          </cell>
          <cell r="C78" t="str">
            <v>IRQ</v>
          </cell>
          <cell r="D78" t="str">
            <v>368</v>
          </cell>
          <cell r="E78" t="str">
            <v>Нет</v>
          </cell>
          <cell r="F78" t="str">
            <v>Республика Ирак</v>
          </cell>
          <cell r="G78" t="str">
            <v>ИРАК</v>
          </cell>
        </row>
        <row r="79">
          <cell r="B79" t="str">
            <v>IR</v>
          </cell>
          <cell r="C79" t="str">
            <v>IRN</v>
          </cell>
          <cell r="D79" t="str">
            <v>364</v>
          </cell>
          <cell r="E79" t="str">
            <v>Нет</v>
          </cell>
          <cell r="F79" t="str">
            <v>Исламская Республика Иран</v>
          </cell>
          <cell r="G79" t="str">
            <v>ИРАН (ИСЛАМСКАЯ РЕСПУБЛИКА)</v>
          </cell>
        </row>
        <row r="80">
          <cell r="B80" t="str">
            <v>IE</v>
          </cell>
          <cell r="C80" t="str">
            <v>IRL</v>
          </cell>
          <cell r="D80" t="str">
            <v>372</v>
          </cell>
          <cell r="E80" t="str">
            <v>Нет</v>
          </cell>
          <cell r="G80" t="str">
            <v>ИРЛАНДИЯ</v>
          </cell>
        </row>
        <row r="81">
          <cell r="B81" t="str">
            <v>IS</v>
          </cell>
          <cell r="C81" t="str">
            <v>ISL</v>
          </cell>
          <cell r="D81" t="str">
            <v>352</v>
          </cell>
          <cell r="E81" t="str">
            <v>Нет</v>
          </cell>
          <cell r="F81" t="str">
            <v>Республика Исландия</v>
          </cell>
          <cell r="G81" t="str">
            <v>ИСЛАНДИЯ</v>
          </cell>
        </row>
        <row r="82">
          <cell r="B82" t="str">
            <v>ES</v>
          </cell>
          <cell r="C82" t="str">
            <v>ESP</v>
          </cell>
          <cell r="D82" t="str">
            <v>724</v>
          </cell>
          <cell r="E82" t="str">
            <v>Нет</v>
          </cell>
          <cell r="F82" t="str">
            <v>Королевство Испания</v>
          </cell>
          <cell r="G82" t="str">
            <v>ИСПАНИЯ</v>
          </cell>
        </row>
        <row r="83">
          <cell r="B83" t="str">
            <v>IT</v>
          </cell>
          <cell r="C83" t="str">
            <v>ITA</v>
          </cell>
          <cell r="D83" t="str">
            <v>380</v>
          </cell>
          <cell r="E83" t="str">
            <v>Нет</v>
          </cell>
          <cell r="F83" t="str">
            <v>Итальянская Республика</v>
          </cell>
          <cell r="G83" t="str">
            <v>ИТАЛИЯ</v>
          </cell>
        </row>
        <row r="84">
          <cell r="B84" t="str">
            <v>YE</v>
          </cell>
          <cell r="C84" t="str">
            <v>YEM</v>
          </cell>
          <cell r="D84" t="str">
            <v>887</v>
          </cell>
          <cell r="E84" t="str">
            <v>Нет</v>
          </cell>
          <cell r="F84" t="str">
            <v>Йеменская Республика</v>
          </cell>
          <cell r="G84" t="str">
            <v>ЙЕМЕН</v>
          </cell>
        </row>
        <row r="85">
          <cell r="B85" t="str">
            <v>CV</v>
          </cell>
          <cell r="C85" t="str">
            <v>CPV</v>
          </cell>
          <cell r="D85" t="str">
            <v>132</v>
          </cell>
          <cell r="E85" t="str">
            <v>Нет</v>
          </cell>
          <cell r="F85" t="str">
            <v>Республика Кабо-Верде</v>
          </cell>
          <cell r="G85" t="str">
            <v>КАБО-ВЕРДЕ</v>
          </cell>
        </row>
        <row r="86">
          <cell r="B86" t="str">
            <v>KZ</v>
          </cell>
          <cell r="C86" t="str">
            <v>KAZ</v>
          </cell>
          <cell r="D86" t="str">
            <v>398</v>
          </cell>
          <cell r="E86" t="str">
            <v>Да</v>
          </cell>
          <cell r="F86" t="str">
            <v>Республика Казахстан</v>
          </cell>
          <cell r="G86" t="str">
            <v>КАЗАХСТАН</v>
          </cell>
        </row>
        <row r="87">
          <cell r="B87" t="str">
            <v>KH</v>
          </cell>
          <cell r="C87" t="str">
            <v>KHM</v>
          </cell>
          <cell r="D87" t="str">
            <v>116</v>
          </cell>
          <cell r="E87" t="str">
            <v>Нет</v>
          </cell>
          <cell r="F87" t="str">
            <v>Королевство Камбоджа</v>
          </cell>
          <cell r="G87" t="str">
            <v>КАМБОДЖА</v>
          </cell>
        </row>
        <row r="88">
          <cell r="B88" t="str">
            <v>CM</v>
          </cell>
          <cell r="C88" t="str">
            <v>CMR</v>
          </cell>
          <cell r="D88" t="str">
            <v>120</v>
          </cell>
          <cell r="E88" t="str">
            <v>Нет</v>
          </cell>
          <cell r="F88" t="str">
            <v>Республика Камерун</v>
          </cell>
          <cell r="G88" t="str">
            <v>КАМЕРУН</v>
          </cell>
        </row>
        <row r="89">
          <cell r="B89" t="str">
            <v>CA</v>
          </cell>
          <cell r="C89" t="str">
            <v>CAN</v>
          </cell>
          <cell r="D89" t="str">
            <v>124</v>
          </cell>
          <cell r="E89" t="str">
            <v>Нет</v>
          </cell>
          <cell r="G89" t="str">
            <v>КАНАДА</v>
          </cell>
        </row>
        <row r="90">
          <cell r="B90" t="str">
            <v>QA</v>
          </cell>
          <cell r="C90" t="str">
            <v>QAT</v>
          </cell>
          <cell r="D90" t="str">
            <v>634</v>
          </cell>
          <cell r="E90" t="str">
            <v>Нет</v>
          </cell>
          <cell r="F90" t="str">
            <v>Государство Катар</v>
          </cell>
          <cell r="G90" t="str">
            <v>КАТАР</v>
          </cell>
        </row>
        <row r="91">
          <cell r="B91" t="str">
            <v>KE</v>
          </cell>
          <cell r="C91" t="str">
            <v>KEN</v>
          </cell>
          <cell r="D91" t="str">
            <v>404</v>
          </cell>
          <cell r="E91" t="str">
            <v>Нет</v>
          </cell>
          <cell r="F91" t="str">
            <v>Республика Кения</v>
          </cell>
          <cell r="G91" t="str">
            <v>КЕНИЯ</v>
          </cell>
        </row>
        <row r="92">
          <cell r="B92" t="str">
            <v>CY</v>
          </cell>
          <cell r="C92" t="str">
            <v>CYP</v>
          </cell>
          <cell r="D92" t="str">
            <v>196</v>
          </cell>
          <cell r="E92" t="str">
            <v>Нет</v>
          </cell>
          <cell r="F92" t="str">
            <v>Республика Кипр</v>
          </cell>
          <cell r="G92" t="str">
            <v>КИПР</v>
          </cell>
        </row>
        <row r="93">
          <cell r="B93" t="str">
            <v>KG</v>
          </cell>
          <cell r="C93" t="str">
            <v>KGZ</v>
          </cell>
          <cell r="D93" t="str">
            <v>417</v>
          </cell>
          <cell r="E93" t="str">
            <v>Да</v>
          </cell>
          <cell r="F93" t="str">
            <v>Киргизская Республика</v>
          </cell>
          <cell r="G93" t="str">
            <v>КИРГИЗИЯ</v>
          </cell>
        </row>
        <row r="94">
          <cell r="B94" t="str">
            <v>KI</v>
          </cell>
          <cell r="C94" t="str">
            <v>KIR</v>
          </cell>
          <cell r="D94" t="str">
            <v>296</v>
          </cell>
          <cell r="E94" t="str">
            <v>Нет</v>
          </cell>
          <cell r="F94" t="str">
            <v>Республика Кирибати</v>
          </cell>
          <cell r="G94" t="str">
            <v>КИРИБАТИ</v>
          </cell>
        </row>
        <row r="95">
          <cell r="B95" t="str">
            <v>CN</v>
          </cell>
          <cell r="C95" t="str">
            <v>CHN</v>
          </cell>
          <cell r="D95" t="str">
            <v>156</v>
          </cell>
          <cell r="E95" t="str">
            <v>Нет</v>
          </cell>
          <cell r="F95" t="str">
            <v>Китайская Народная Республика</v>
          </cell>
          <cell r="G95" t="str">
            <v>КИТАЙ</v>
          </cell>
        </row>
        <row r="96">
          <cell r="B96" t="str">
            <v>CC</v>
          </cell>
          <cell r="C96" t="str">
            <v>CCK</v>
          </cell>
          <cell r="D96" t="str">
            <v>166</v>
          </cell>
          <cell r="E96" t="str">
            <v>Нет</v>
          </cell>
          <cell r="G96" t="str">
            <v>КОКОСОВЫЕ (КИЛИНГ) ОСТРОВА</v>
          </cell>
        </row>
        <row r="97">
          <cell r="B97" t="str">
            <v>CO</v>
          </cell>
          <cell r="C97" t="str">
            <v>COL</v>
          </cell>
          <cell r="D97" t="str">
            <v>170</v>
          </cell>
          <cell r="E97" t="str">
            <v>Нет</v>
          </cell>
          <cell r="F97" t="str">
            <v>Республика Колумбия</v>
          </cell>
          <cell r="G97" t="str">
            <v>КОЛУМБИЯ</v>
          </cell>
        </row>
        <row r="98">
          <cell r="B98" t="str">
            <v>KM</v>
          </cell>
          <cell r="C98" t="str">
            <v>COM</v>
          </cell>
          <cell r="D98" t="str">
            <v>174</v>
          </cell>
          <cell r="E98" t="str">
            <v>Нет</v>
          </cell>
          <cell r="F98" t="str">
            <v>Союз Коморы</v>
          </cell>
          <cell r="G98" t="str">
            <v>КОМОРЫ</v>
          </cell>
        </row>
        <row r="99">
          <cell r="B99" t="str">
            <v>CG</v>
          </cell>
          <cell r="C99" t="str">
            <v>COG</v>
          </cell>
          <cell r="D99" t="str">
            <v>178</v>
          </cell>
          <cell r="E99" t="str">
            <v>Нет</v>
          </cell>
          <cell r="F99" t="str">
            <v>Республика Конго</v>
          </cell>
          <cell r="G99" t="str">
            <v>КОНГО</v>
          </cell>
        </row>
        <row r="100">
          <cell r="B100" t="str">
            <v>CD</v>
          </cell>
          <cell r="C100" t="str">
            <v>COD</v>
          </cell>
          <cell r="D100" t="str">
            <v>180</v>
          </cell>
          <cell r="E100" t="str">
            <v>Нет</v>
          </cell>
          <cell r="G100" t="str">
            <v>КОНГО, ДЕМОКРАТИЧЕСКАЯ РЕСПУБЛИКА</v>
          </cell>
        </row>
        <row r="101">
          <cell r="B101" t="str">
            <v>KP</v>
          </cell>
          <cell r="C101" t="str">
            <v>PRK</v>
          </cell>
          <cell r="D101" t="str">
            <v>408</v>
          </cell>
          <cell r="E101" t="str">
            <v>Нет</v>
          </cell>
          <cell r="F101" t="str">
            <v>Корейская Народно-Демократическая Республика</v>
          </cell>
          <cell r="G101" t="str">
            <v>КОРЕЯ, НАРОДНО-ДЕМОКРАТИЧЕСКАЯ РЕСПУБЛИКА</v>
          </cell>
        </row>
        <row r="102">
          <cell r="B102" t="str">
            <v>KR</v>
          </cell>
          <cell r="C102" t="str">
            <v>KOR</v>
          </cell>
          <cell r="D102" t="str">
            <v>410</v>
          </cell>
          <cell r="E102" t="str">
            <v>Нет</v>
          </cell>
          <cell r="F102" t="str">
            <v>Республика Корея</v>
          </cell>
          <cell r="G102" t="str">
            <v>КОРЕЯ, РЕСПУБЛИКА</v>
          </cell>
        </row>
        <row r="103">
          <cell r="B103" t="str">
            <v>CR</v>
          </cell>
          <cell r="C103" t="str">
            <v>CRI</v>
          </cell>
          <cell r="D103" t="str">
            <v>188</v>
          </cell>
          <cell r="E103" t="str">
            <v>Нет</v>
          </cell>
          <cell r="F103" t="str">
            <v>Республика Коста-Рика</v>
          </cell>
          <cell r="G103" t="str">
            <v>КОСТА-РИКА</v>
          </cell>
        </row>
        <row r="104">
          <cell r="B104" t="str">
            <v>CI</v>
          </cell>
          <cell r="C104" t="str">
            <v>CIV</v>
          </cell>
          <cell r="D104" t="str">
            <v>384</v>
          </cell>
          <cell r="E104" t="str">
            <v>Нет</v>
          </cell>
          <cell r="F104" t="str">
            <v>Республика Кот д'Ивуар</v>
          </cell>
          <cell r="G104" t="str">
            <v>КОТ Д'ИВУАР</v>
          </cell>
        </row>
        <row r="105">
          <cell r="B105" t="str">
            <v>CU</v>
          </cell>
          <cell r="C105" t="str">
            <v>CUB</v>
          </cell>
          <cell r="D105" t="str">
            <v>192</v>
          </cell>
          <cell r="E105" t="str">
            <v>Нет</v>
          </cell>
          <cell r="F105" t="str">
            <v>Республика Куба</v>
          </cell>
          <cell r="G105" t="str">
            <v>КУБА</v>
          </cell>
        </row>
        <row r="106">
          <cell r="B106" t="str">
            <v>KW</v>
          </cell>
          <cell r="C106" t="str">
            <v>KWT</v>
          </cell>
          <cell r="D106" t="str">
            <v>414</v>
          </cell>
          <cell r="E106" t="str">
            <v>Нет</v>
          </cell>
          <cell r="F106" t="str">
            <v>Государство Кувейт</v>
          </cell>
          <cell r="G106" t="str">
            <v>КУВЕЙТ</v>
          </cell>
        </row>
        <row r="107">
          <cell r="B107" t="str">
            <v>CW</v>
          </cell>
          <cell r="C107" t="str">
            <v>CUW</v>
          </cell>
          <cell r="D107" t="str">
            <v>531</v>
          </cell>
          <cell r="E107" t="str">
            <v>Нет</v>
          </cell>
          <cell r="G107" t="str">
            <v>КЮРАСАО</v>
          </cell>
        </row>
        <row r="108">
          <cell r="B108" t="str">
            <v>LA</v>
          </cell>
          <cell r="C108" t="str">
            <v>LAO</v>
          </cell>
          <cell r="D108" t="str">
            <v>418</v>
          </cell>
          <cell r="E108" t="str">
            <v>Нет</v>
          </cell>
          <cell r="G108" t="str">
            <v>ЛАОССКАЯ НАРОДНО-ДЕМОКРАТИЧЕСКАЯ РЕСПУБЛИКА</v>
          </cell>
        </row>
        <row r="109">
          <cell r="B109" t="str">
            <v>LV</v>
          </cell>
          <cell r="C109" t="str">
            <v>LVA</v>
          </cell>
          <cell r="D109" t="str">
            <v>428</v>
          </cell>
          <cell r="E109" t="str">
            <v>Нет</v>
          </cell>
          <cell r="F109" t="str">
            <v>Латвийская Республика</v>
          </cell>
          <cell r="G109" t="str">
            <v>ЛАТВИЯ</v>
          </cell>
        </row>
        <row r="110">
          <cell r="B110" t="str">
            <v>LS</v>
          </cell>
          <cell r="C110" t="str">
            <v>LSO</v>
          </cell>
          <cell r="D110" t="str">
            <v>426</v>
          </cell>
          <cell r="E110" t="str">
            <v>Нет</v>
          </cell>
          <cell r="F110" t="str">
            <v>Королевство Лесото</v>
          </cell>
          <cell r="G110" t="str">
            <v>ЛЕСОТО</v>
          </cell>
        </row>
        <row r="111">
          <cell r="B111" t="str">
            <v>LR</v>
          </cell>
          <cell r="C111" t="str">
            <v>LBR</v>
          </cell>
          <cell r="D111" t="str">
            <v>430</v>
          </cell>
          <cell r="E111" t="str">
            <v>Нет</v>
          </cell>
          <cell r="F111" t="str">
            <v>Республика Либерия</v>
          </cell>
          <cell r="G111" t="str">
            <v>ЛИБЕРИЯ</v>
          </cell>
        </row>
        <row r="112">
          <cell r="B112" t="str">
            <v>LB</v>
          </cell>
          <cell r="C112" t="str">
            <v>LBN</v>
          </cell>
          <cell r="D112" t="str">
            <v>422</v>
          </cell>
          <cell r="E112" t="str">
            <v>Нет</v>
          </cell>
          <cell r="F112" t="str">
            <v>Ливанская Республика</v>
          </cell>
          <cell r="G112" t="str">
            <v>ЛИВАН</v>
          </cell>
        </row>
        <row r="113">
          <cell r="B113" t="str">
            <v>LY</v>
          </cell>
          <cell r="C113" t="str">
            <v>LBY</v>
          </cell>
          <cell r="D113" t="str">
            <v>434</v>
          </cell>
          <cell r="E113" t="str">
            <v>Нет</v>
          </cell>
          <cell r="F113" t="str">
            <v>Государство Ливия</v>
          </cell>
          <cell r="G113" t="str">
            <v>ЛИВИЯ</v>
          </cell>
        </row>
        <row r="114">
          <cell r="B114" t="str">
            <v>LT</v>
          </cell>
          <cell r="C114" t="str">
            <v>LTU</v>
          </cell>
          <cell r="D114" t="str">
            <v>440</v>
          </cell>
          <cell r="E114" t="str">
            <v>Нет</v>
          </cell>
          <cell r="F114" t="str">
            <v>Литовская Республика</v>
          </cell>
          <cell r="G114" t="str">
            <v>ЛИТВА</v>
          </cell>
        </row>
        <row r="115">
          <cell r="B115" t="str">
            <v>LI</v>
          </cell>
          <cell r="C115" t="str">
            <v>LIE</v>
          </cell>
          <cell r="D115" t="str">
            <v>438</v>
          </cell>
          <cell r="E115" t="str">
            <v>Нет</v>
          </cell>
          <cell r="F115" t="str">
            <v>Княжество Лихтенштейн</v>
          </cell>
          <cell r="G115" t="str">
            <v>ЛИХТЕНШТЕЙН</v>
          </cell>
        </row>
        <row r="116">
          <cell r="B116" t="str">
            <v>LN</v>
          </cell>
          <cell r="C116" t="str">
            <v>LNR</v>
          </cell>
          <cell r="D116" t="str">
            <v>898</v>
          </cell>
          <cell r="E116" t="str">
            <v>Нет</v>
          </cell>
          <cell r="F116" t="str">
            <v>Луганская Народная Республика</v>
          </cell>
          <cell r="G116" t="str">
            <v>ЛУГАНСКАЯ НАРОДНАЯ РЕСПУБЛИКА</v>
          </cell>
        </row>
        <row r="117">
          <cell r="B117" t="str">
            <v>LU</v>
          </cell>
          <cell r="C117" t="str">
            <v>LUX</v>
          </cell>
          <cell r="D117" t="str">
            <v>442</v>
          </cell>
          <cell r="E117" t="str">
            <v>Нет</v>
          </cell>
          <cell r="F117" t="str">
            <v>Великое Герцогство Люксембург</v>
          </cell>
          <cell r="G117" t="str">
            <v>ЛЮКСЕМБУРГ</v>
          </cell>
        </row>
        <row r="118">
          <cell r="B118" t="str">
            <v>MU</v>
          </cell>
          <cell r="C118" t="str">
            <v>MUS</v>
          </cell>
          <cell r="D118" t="str">
            <v>480</v>
          </cell>
          <cell r="E118" t="str">
            <v>Нет</v>
          </cell>
          <cell r="F118" t="str">
            <v>Республика Маврикий</v>
          </cell>
          <cell r="G118" t="str">
            <v>МАВРИКИЙ</v>
          </cell>
        </row>
        <row r="119">
          <cell r="B119" t="str">
            <v>MR</v>
          </cell>
          <cell r="C119" t="str">
            <v>MRT</v>
          </cell>
          <cell r="D119" t="str">
            <v>478</v>
          </cell>
          <cell r="E119" t="str">
            <v>Нет</v>
          </cell>
          <cell r="F119" t="str">
            <v>Исламская Республика Мавритания</v>
          </cell>
          <cell r="G119" t="str">
            <v>МАВРИТАНИЯ</v>
          </cell>
        </row>
        <row r="120">
          <cell r="B120" t="str">
            <v>MG</v>
          </cell>
          <cell r="C120" t="str">
            <v>MDG</v>
          </cell>
          <cell r="D120" t="str">
            <v>450</v>
          </cell>
          <cell r="E120" t="str">
            <v>Нет</v>
          </cell>
          <cell r="F120" t="str">
            <v>Республика Мадагаскар</v>
          </cell>
          <cell r="G120" t="str">
            <v>МАДАГАСКАР</v>
          </cell>
        </row>
        <row r="121">
          <cell r="B121" t="str">
            <v>YT</v>
          </cell>
          <cell r="C121" t="str">
            <v>MYT</v>
          </cell>
          <cell r="D121" t="str">
            <v>175</v>
          </cell>
          <cell r="E121" t="str">
            <v>Нет</v>
          </cell>
          <cell r="G121" t="str">
            <v>МАЙОТТА</v>
          </cell>
        </row>
        <row r="122">
          <cell r="B122" t="str">
            <v>MO</v>
          </cell>
          <cell r="C122" t="str">
            <v>MAC</v>
          </cell>
          <cell r="D122" t="str">
            <v>446</v>
          </cell>
          <cell r="E122" t="str">
            <v>Нет</v>
          </cell>
          <cell r="F122" t="str">
            <v>Специальный административный регион Китая Макао</v>
          </cell>
          <cell r="G122" t="str">
            <v>МАКАО</v>
          </cell>
        </row>
        <row r="123">
          <cell r="B123" t="str">
            <v>MK</v>
          </cell>
          <cell r="C123" t="str">
            <v>MKD</v>
          </cell>
          <cell r="D123" t="str">
            <v>807</v>
          </cell>
          <cell r="E123" t="str">
            <v>Нет</v>
          </cell>
          <cell r="F123" t="str">
            <v>Республика Северная Македония</v>
          </cell>
          <cell r="G123" t="str">
            <v>СЕВЕРНАЯ МАКЕДОНИЯ</v>
          </cell>
        </row>
        <row r="124">
          <cell r="B124" t="str">
            <v>MW</v>
          </cell>
          <cell r="C124" t="str">
            <v>MWI</v>
          </cell>
          <cell r="D124" t="str">
            <v>454</v>
          </cell>
          <cell r="E124" t="str">
            <v>Нет</v>
          </cell>
          <cell r="F124" t="str">
            <v>Республика Малави</v>
          </cell>
          <cell r="G124" t="str">
            <v>МАЛАВИ</v>
          </cell>
        </row>
        <row r="125">
          <cell r="B125" t="str">
            <v>MY</v>
          </cell>
          <cell r="C125" t="str">
            <v>MYS</v>
          </cell>
          <cell r="D125" t="str">
            <v>458</v>
          </cell>
          <cell r="E125" t="str">
            <v>Нет</v>
          </cell>
          <cell r="G125" t="str">
            <v>МАЛАЙЗИЯ</v>
          </cell>
        </row>
        <row r="126">
          <cell r="B126" t="str">
            <v>ML</v>
          </cell>
          <cell r="C126" t="str">
            <v>MLI</v>
          </cell>
          <cell r="D126" t="str">
            <v>466</v>
          </cell>
          <cell r="E126" t="str">
            <v>Нет</v>
          </cell>
          <cell r="F126" t="str">
            <v>Республика Мали</v>
          </cell>
          <cell r="G126" t="str">
            <v>МАЛИ</v>
          </cell>
        </row>
        <row r="127">
          <cell r="B127" t="str">
            <v>UM</v>
          </cell>
          <cell r="C127" t="str">
            <v>UMI</v>
          </cell>
          <cell r="D127" t="str">
            <v>581</v>
          </cell>
          <cell r="E127" t="str">
            <v>Нет</v>
          </cell>
          <cell r="G127" t="str">
            <v>МАЛЫЕ ТИХООКЕАНСКИЕ ОТДАЛЕННЫЕ ОСТРОВА СОЕДИНЕННЫХ ШТАТОВ</v>
          </cell>
        </row>
        <row r="128">
          <cell r="B128" t="str">
            <v>MV</v>
          </cell>
          <cell r="C128" t="str">
            <v>MDV</v>
          </cell>
          <cell r="D128" t="str">
            <v>462</v>
          </cell>
          <cell r="E128" t="str">
            <v>Нет</v>
          </cell>
          <cell r="F128" t="str">
            <v>Мальдивская Республика</v>
          </cell>
          <cell r="G128" t="str">
            <v>МАЛЬДИВЫ</v>
          </cell>
        </row>
        <row r="129">
          <cell r="B129" t="str">
            <v>MT</v>
          </cell>
          <cell r="C129" t="str">
            <v>MLT</v>
          </cell>
          <cell r="D129" t="str">
            <v>470</v>
          </cell>
          <cell r="E129" t="str">
            <v>Нет</v>
          </cell>
          <cell r="F129" t="str">
            <v>Республика Мальта</v>
          </cell>
          <cell r="G129" t="str">
            <v>МАЛЬТА</v>
          </cell>
        </row>
        <row r="130">
          <cell r="B130" t="str">
            <v>MA</v>
          </cell>
          <cell r="C130" t="str">
            <v>MAR</v>
          </cell>
          <cell r="D130" t="str">
            <v>504</v>
          </cell>
          <cell r="E130" t="str">
            <v>Нет</v>
          </cell>
          <cell r="F130" t="str">
            <v>Королевство Марокко</v>
          </cell>
          <cell r="G130" t="str">
            <v>МАРОККО</v>
          </cell>
        </row>
        <row r="131">
          <cell r="B131" t="str">
            <v>MQ</v>
          </cell>
          <cell r="C131" t="str">
            <v>MTQ</v>
          </cell>
          <cell r="D131" t="str">
            <v>474</v>
          </cell>
          <cell r="E131" t="str">
            <v>Нет</v>
          </cell>
          <cell r="G131" t="str">
            <v>МАРТИНИКА</v>
          </cell>
        </row>
        <row r="132">
          <cell r="B132" t="str">
            <v>MH</v>
          </cell>
          <cell r="C132" t="str">
            <v>MHL</v>
          </cell>
          <cell r="D132" t="str">
            <v>584</v>
          </cell>
          <cell r="E132" t="str">
            <v>Нет</v>
          </cell>
          <cell r="F132" t="str">
            <v>Республика Маршалловы Острова</v>
          </cell>
          <cell r="G132" t="str">
            <v>МАРШАЛЛОВЫ ОСТРОВА</v>
          </cell>
        </row>
        <row r="133">
          <cell r="B133" t="str">
            <v>MX</v>
          </cell>
          <cell r="C133" t="str">
            <v>MEX</v>
          </cell>
          <cell r="D133" t="str">
            <v>484</v>
          </cell>
          <cell r="E133" t="str">
            <v>Нет</v>
          </cell>
          <cell r="F133" t="str">
            <v>Мексиканские Соединенные Штаты</v>
          </cell>
          <cell r="G133" t="str">
            <v>МЕКСИКА</v>
          </cell>
        </row>
        <row r="134">
          <cell r="B134" t="str">
            <v>FM</v>
          </cell>
          <cell r="C134" t="str">
            <v>FSM</v>
          </cell>
          <cell r="D134" t="str">
            <v>583</v>
          </cell>
          <cell r="E134" t="str">
            <v>Нет</v>
          </cell>
          <cell r="F134" t="str">
            <v>Федеративные Штаты Микронезии</v>
          </cell>
          <cell r="G134" t="str">
            <v>МИКРОНЕЗИЯ, ФЕДЕРАТИВНЫЕ ШТАТЫ</v>
          </cell>
        </row>
        <row r="135">
          <cell r="B135" t="str">
            <v>MZ</v>
          </cell>
          <cell r="C135" t="str">
            <v>MOZ</v>
          </cell>
          <cell r="D135" t="str">
            <v>508</v>
          </cell>
          <cell r="E135" t="str">
            <v>Нет</v>
          </cell>
          <cell r="F135" t="str">
            <v>Республика Мозамбик</v>
          </cell>
          <cell r="G135" t="str">
            <v>МОЗАМБИК</v>
          </cell>
        </row>
        <row r="136">
          <cell r="B136" t="str">
            <v>MD</v>
          </cell>
          <cell r="C136" t="str">
            <v>MDA</v>
          </cell>
          <cell r="D136" t="str">
            <v>498</v>
          </cell>
          <cell r="E136" t="str">
            <v>Нет</v>
          </cell>
          <cell r="F136" t="str">
            <v>Республика Молдова</v>
          </cell>
          <cell r="G136" t="str">
            <v>МОЛДОВА, РЕСПУБЛИКА</v>
          </cell>
        </row>
        <row r="137">
          <cell r="B137" t="str">
            <v>MC</v>
          </cell>
          <cell r="C137" t="str">
            <v>MCO</v>
          </cell>
          <cell r="D137" t="str">
            <v>492</v>
          </cell>
          <cell r="E137" t="str">
            <v>Нет</v>
          </cell>
          <cell r="F137" t="str">
            <v>Княжество Монако</v>
          </cell>
          <cell r="G137" t="str">
            <v>МОНАКО</v>
          </cell>
        </row>
        <row r="138">
          <cell r="B138" t="str">
            <v>MN</v>
          </cell>
          <cell r="C138" t="str">
            <v>MNG</v>
          </cell>
          <cell r="D138" t="str">
            <v>496</v>
          </cell>
          <cell r="E138" t="str">
            <v>Нет</v>
          </cell>
          <cell r="G138" t="str">
            <v>МОНГОЛИЯ</v>
          </cell>
        </row>
        <row r="139">
          <cell r="B139" t="str">
            <v>MS</v>
          </cell>
          <cell r="C139" t="str">
            <v>MSR</v>
          </cell>
          <cell r="D139" t="str">
            <v>500</v>
          </cell>
          <cell r="E139" t="str">
            <v>Нет</v>
          </cell>
          <cell r="G139" t="str">
            <v>МОНТСЕРРАТ</v>
          </cell>
        </row>
        <row r="140">
          <cell r="B140" t="str">
            <v>MM</v>
          </cell>
          <cell r="C140" t="str">
            <v>MMR</v>
          </cell>
          <cell r="D140" t="str">
            <v>104</v>
          </cell>
          <cell r="E140" t="str">
            <v>Нет</v>
          </cell>
          <cell r="F140" t="str">
            <v>Республика Союза Мьянма</v>
          </cell>
          <cell r="G140" t="str">
            <v>МЬЯНМА</v>
          </cell>
        </row>
        <row r="141">
          <cell r="B141" t="str">
            <v>NA</v>
          </cell>
          <cell r="C141" t="str">
            <v>NAM</v>
          </cell>
          <cell r="D141" t="str">
            <v>516</v>
          </cell>
          <cell r="E141" t="str">
            <v>Нет</v>
          </cell>
          <cell r="F141" t="str">
            <v>Республика Намибия</v>
          </cell>
          <cell r="G141" t="str">
            <v>НАМИБИЯ</v>
          </cell>
        </row>
        <row r="142">
          <cell r="B142" t="str">
            <v>NR</v>
          </cell>
          <cell r="C142" t="str">
            <v>NRU</v>
          </cell>
          <cell r="D142" t="str">
            <v>520</v>
          </cell>
          <cell r="E142" t="str">
            <v>Нет</v>
          </cell>
          <cell r="F142" t="str">
            <v>Республика Науру</v>
          </cell>
          <cell r="G142" t="str">
            <v>НАУРУ</v>
          </cell>
        </row>
        <row r="143">
          <cell r="B143" t="str">
            <v>NP</v>
          </cell>
          <cell r="C143" t="str">
            <v>NPL</v>
          </cell>
          <cell r="D143" t="str">
            <v>524</v>
          </cell>
          <cell r="E143" t="str">
            <v>Нет</v>
          </cell>
          <cell r="F143" t="str">
            <v>Федеративная Демократическая Республика Непал</v>
          </cell>
          <cell r="G143" t="str">
            <v>НЕПАЛ</v>
          </cell>
        </row>
        <row r="144">
          <cell r="B144" t="str">
            <v>NE</v>
          </cell>
          <cell r="C144" t="str">
            <v>NER</v>
          </cell>
          <cell r="D144" t="str">
            <v>562</v>
          </cell>
          <cell r="E144" t="str">
            <v>Нет</v>
          </cell>
          <cell r="F144" t="str">
            <v>Республика Нигер</v>
          </cell>
          <cell r="G144" t="str">
            <v>НИГЕР</v>
          </cell>
        </row>
        <row r="145">
          <cell r="B145" t="str">
            <v>NG</v>
          </cell>
          <cell r="C145" t="str">
            <v>NGA</v>
          </cell>
          <cell r="D145" t="str">
            <v>566</v>
          </cell>
          <cell r="E145" t="str">
            <v>Нет</v>
          </cell>
          <cell r="F145" t="str">
            <v>Федеративная Республика Нигерия</v>
          </cell>
          <cell r="G145" t="str">
            <v>НИГЕРИЯ</v>
          </cell>
        </row>
        <row r="146">
          <cell r="B146" t="str">
            <v>NL</v>
          </cell>
          <cell r="C146" t="str">
            <v>NLD</v>
          </cell>
          <cell r="D146" t="str">
            <v>528</v>
          </cell>
          <cell r="E146" t="str">
            <v>Нет</v>
          </cell>
          <cell r="F146" t="str">
            <v>Королевство Нидерландов</v>
          </cell>
          <cell r="G146" t="str">
            <v>НИДЕРЛАНДЫ</v>
          </cell>
        </row>
        <row r="147">
          <cell r="B147" t="str">
            <v>NI</v>
          </cell>
          <cell r="C147" t="str">
            <v>NIC</v>
          </cell>
          <cell r="D147" t="str">
            <v>558</v>
          </cell>
          <cell r="E147" t="str">
            <v>Нет</v>
          </cell>
          <cell r="F147" t="str">
            <v>Республика Никарагуа</v>
          </cell>
          <cell r="G147" t="str">
            <v>НИКАРАГУА</v>
          </cell>
        </row>
        <row r="148">
          <cell r="B148" t="str">
            <v>NU</v>
          </cell>
          <cell r="C148" t="str">
            <v>NIU</v>
          </cell>
          <cell r="D148" t="str">
            <v>570</v>
          </cell>
          <cell r="E148" t="str">
            <v>Нет</v>
          </cell>
          <cell r="F148" t="str">
            <v>Ниуэ</v>
          </cell>
          <cell r="G148" t="str">
            <v>НИУЭ</v>
          </cell>
        </row>
        <row r="149">
          <cell r="B149" t="str">
            <v>NZ</v>
          </cell>
          <cell r="C149" t="str">
            <v>NZL</v>
          </cell>
          <cell r="D149" t="str">
            <v>554</v>
          </cell>
          <cell r="E149" t="str">
            <v>Нет</v>
          </cell>
          <cell r="G149" t="str">
            <v>НОВАЯ ЗЕЛАНДИЯ</v>
          </cell>
        </row>
        <row r="150">
          <cell r="B150" t="str">
            <v>NC</v>
          </cell>
          <cell r="C150" t="str">
            <v>NCL</v>
          </cell>
          <cell r="D150" t="str">
            <v>540</v>
          </cell>
          <cell r="E150" t="str">
            <v>Нет</v>
          </cell>
          <cell r="G150" t="str">
            <v>НОВАЯ КАЛЕДОНИЯ</v>
          </cell>
        </row>
        <row r="151">
          <cell r="B151" t="str">
            <v>NO</v>
          </cell>
          <cell r="C151" t="str">
            <v>NOR</v>
          </cell>
          <cell r="D151" t="str">
            <v>578</v>
          </cell>
          <cell r="E151" t="str">
            <v>Нет</v>
          </cell>
          <cell r="F151" t="str">
            <v>Королевство Норвегия</v>
          </cell>
          <cell r="G151" t="str">
            <v>НОРВЕГИЯ</v>
          </cell>
        </row>
        <row r="152">
          <cell r="B152" t="str">
            <v>AE</v>
          </cell>
          <cell r="C152" t="str">
            <v>ARE</v>
          </cell>
          <cell r="D152" t="str">
            <v>784</v>
          </cell>
          <cell r="E152" t="str">
            <v>Нет</v>
          </cell>
          <cell r="G152" t="str">
            <v>ОБЪЕДИНЕННЫЕ АРАБСКИЕ ЭМИРАТЫ</v>
          </cell>
        </row>
        <row r="153">
          <cell r="B153" t="str">
            <v>OM</v>
          </cell>
          <cell r="C153" t="str">
            <v>OMN</v>
          </cell>
          <cell r="D153" t="str">
            <v>512</v>
          </cell>
          <cell r="E153" t="str">
            <v>Нет</v>
          </cell>
          <cell r="F153" t="str">
            <v>Султанат Оман</v>
          </cell>
          <cell r="G153" t="str">
            <v>ОМАН</v>
          </cell>
        </row>
        <row r="154">
          <cell r="B154" t="str">
            <v>KY</v>
          </cell>
          <cell r="C154" t="str">
            <v>CYM</v>
          </cell>
          <cell r="D154" t="str">
            <v>136</v>
          </cell>
          <cell r="E154" t="str">
            <v>Нет</v>
          </cell>
          <cell r="G154" t="str">
            <v>ОСТРОВА КАЙМАН</v>
          </cell>
        </row>
        <row r="155">
          <cell r="B155" t="str">
            <v>CK</v>
          </cell>
          <cell r="C155" t="str">
            <v>COK</v>
          </cell>
          <cell r="D155" t="str">
            <v>184</v>
          </cell>
          <cell r="E155" t="str">
            <v>Нет</v>
          </cell>
          <cell r="G155" t="str">
            <v>ОСТРОВА КУКА</v>
          </cell>
        </row>
        <row r="156">
          <cell r="B156" t="str">
            <v>TC</v>
          </cell>
          <cell r="C156" t="str">
            <v>TCA</v>
          </cell>
          <cell r="D156" t="str">
            <v>796</v>
          </cell>
          <cell r="E156" t="str">
            <v>Нет</v>
          </cell>
          <cell r="G156" t="str">
            <v>ОСТРОВА ТЕРКС И КАЙКОС</v>
          </cell>
        </row>
        <row r="157">
          <cell r="B157" t="str">
            <v>BV</v>
          </cell>
          <cell r="C157" t="str">
            <v>BVT</v>
          </cell>
          <cell r="D157" t="str">
            <v>074</v>
          </cell>
          <cell r="E157" t="str">
            <v>Нет</v>
          </cell>
          <cell r="G157" t="str">
            <v>ОСТРОВ БУВЕ</v>
          </cell>
        </row>
        <row r="158">
          <cell r="B158" t="str">
            <v>IM</v>
          </cell>
          <cell r="C158" t="str">
            <v>IMN</v>
          </cell>
          <cell r="D158" t="str">
            <v>833</v>
          </cell>
          <cell r="E158" t="str">
            <v>Нет</v>
          </cell>
          <cell r="G158" t="str">
            <v>ОСТРОВ МЭН</v>
          </cell>
        </row>
        <row r="159">
          <cell r="B159" t="str">
            <v>NF</v>
          </cell>
          <cell r="C159" t="str">
            <v>NFK</v>
          </cell>
          <cell r="D159" t="str">
            <v>574</v>
          </cell>
          <cell r="E159" t="str">
            <v>Нет</v>
          </cell>
          <cell r="G159" t="str">
            <v>ОСТРОВ НОРФОЛК</v>
          </cell>
        </row>
        <row r="160">
          <cell r="B160" t="str">
            <v>CX</v>
          </cell>
          <cell r="C160" t="str">
            <v>CXR</v>
          </cell>
          <cell r="D160" t="str">
            <v>162</v>
          </cell>
          <cell r="E160" t="str">
            <v>Нет</v>
          </cell>
          <cell r="G160" t="str">
            <v>ОСТРОВ РОЖДЕСТВА</v>
          </cell>
        </row>
        <row r="161">
          <cell r="B161" t="str">
            <v>HM</v>
          </cell>
          <cell r="C161" t="str">
            <v>HMD</v>
          </cell>
          <cell r="D161" t="str">
            <v>334</v>
          </cell>
          <cell r="E161" t="str">
            <v>Нет</v>
          </cell>
          <cell r="G161" t="str">
            <v>ОСТРОВ ХЕРД И ОСТРОВА МАКДОНАЛЬД</v>
          </cell>
        </row>
        <row r="162">
          <cell r="B162" t="str">
            <v>PK</v>
          </cell>
          <cell r="C162" t="str">
            <v>PAK</v>
          </cell>
          <cell r="D162" t="str">
            <v>586</v>
          </cell>
          <cell r="E162" t="str">
            <v>Нет</v>
          </cell>
          <cell r="F162" t="str">
            <v>Исламская Республика Пакистан</v>
          </cell>
          <cell r="G162" t="str">
            <v>ПАКИСТАН</v>
          </cell>
        </row>
        <row r="163">
          <cell r="B163" t="str">
            <v>PW</v>
          </cell>
          <cell r="C163" t="str">
            <v>PLW</v>
          </cell>
          <cell r="D163" t="str">
            <v>585</v>
          </cell>
          <cell r="E163" t="str">
            <v>Нет</v>
          </cell>
          <cell r="F163" t="str">
            <v>Республика Палау</v>
          </cell>
          <cell r="G163" t="str">
            <v>ПАЛАУ</v>
          </cell>
        </row>
        <row r="164">
          <cell r="B164" t="str">
            <v>PS</v>
          </cell>
          <cell r="C164" t="str">
            <v>PSE</v>
          </cell>
          <cell r="D164" t="str">
            <v>275</v>
          </cell>
          <cell r="E164" t="str">
            <v>Нет</v>
          </cell>
          <cell r="F164" t="str">
            <v>Государство Палестина</v>
          </cell>
          <cell r="G164" t="str">
            <v>ПАЛЕСТИНА, ГОСУДАРСТВО</v>
          </cell>
        </row>
        <row r="165">
          <cell r="B165" t="str">
            <v>PA</v>
          </cell>
          <cell r="C165" t="str">
            <v>PAN</v>
          </cell>
          <cell r="D165" t="str">
            <v>591</v>
          </cell>
          <cell r="E165" t="str">
            <v>Нет</v>
          </cell>
          <cell r="F165" t="str">
            <v>Республика Панама</v>
          </cell>
          <cell r="G165" t="str">
            <v>ПАНАМА</v>
          </cell>
        </row>
        <row r="166">
          <cell r="B166" t="str">
            <v>VA</v>
          </cell>
          <cell r="C166" t="str">
            <v>VAT</v>
          </cell>
          <cell r="D166" t="str">
            <v>336</v>
          </cell>
          <cell r="E166" t="str">
            <v>Нет</v>
          </cell>
          <cell r="G166" t="str">
            <v>ПАПСКИЙ ПРЕСТОЛ (ГОСУДАРСТВО - ГОРОД ВАТИКАН)</v>
          </cell>
        </row>
        <row r="167">
          <cell r="B167" t="str">
            <v>PG</v>
          </cell>
          <cell r="C167" t="str">
            <v>PNG</v>
          </cell>
          <cell r="D167" t="str">
            <v>598</v>
          </cell>
          <cell r="E167" t="str">
            <v>Нет</v>
          </cell>
          <cell r="F167" t="str">
            <v>Независимое Государство Папуа Новая Гвинея</v>
          </cell>
          <cell r="G167" t="str">
            <v>ПАПУА НОВАЯ ГВИНЕЯ</v>
          </cell>
        </row>
        <row r="168">
          <cell r="B168" t="str">
            <v>PY</v>
          </cell>
          <cell r="C168" t="str">
            <v>PRY</v>
          </cell>
          <cell r="D168" t="str">
            <v>600</v>
          </cell>
          <cell r="E168" t="str">
            <v>Нет</v>
          </cell>
          <cell r="F168" t="str">
            <v>Республика Парагвай</v>
          </cell>
          <cell r="G168" t="str">
            <v>ПАРАГВАЙ</v>
          </cell>
        </row>
        <row r="169">
          <cell r="B169" t="str">
            <v>PE</v>
          </cell>
          <cell r="C169" t="str">
            <v>PER</v>
          </cell>
          <cell r="D169" t="str">
            <v>604</v>
          </cell>
          <cell r="E169" t="str">
            <v>Нет</v>
          </cell>
          <cell r="F169" t="str">
            <v>Республика Перу</v>
          </cell>
          <cell r="G169" t="str">
            <v>ПЕРУ</v>
          </cell>
        </row>
        <row r="170">
          <cell r="B170" t="str">
            <v>PN</v>
          </cell>
          <cell r="C170" t="str">
            <v>PCN</v>
          </cell>
          <cell r="D170" t="str">
            <v>612</v>
          </cell>
          <cell r="E170" t="str">
            <v>Нет</v>
          </cell>
          <cell r="G170" t="str">
            <v>ПИТКЕРН</v>
          </cell>
        </row>
        <row r="171">
          <cell r="B171" t="str">
            <v>PL</v>
          </cell>
          <cell r="C171" t="str">
            <v>POL</v>
          </cell>
          <cell r="D171" t="str">
            <v>616</v>
          </cell>
          <cell r="E171" t="str">
            <v>Нет</v>
          </cell>
          <cell r="F171" t="str">
            <v>Республика Польша</v>
          </cell>
          <cell r="G171" t="str">
            <v>ПОЛЬША</v>
          </cell>
        </row>
        <row r="172">
          <cell r="B172" t="str">
            <v>PT</v>
          </cell>
          <cell r="C172" t="str">
            <v>PRT</v>
          </cell>
          <cell r="D172" t="str">
            <v>620</v>
          </cell>
          <cell r="E172" t="str">
            <v>Нет</v>
          </cell>
          <cell r="F172" t="str">
            <v>Португальская Республика</v>
          </cell>
          <cell r="G172" t="str">
            <v>ПОРТУГАЛИЯ</v>
          </cell>
        </row>
        <row r="173">
          <cell r="B173" t="str">
            <v>PR</v>
          </cell>
          <cell r="C173" t="str">
            <v>PRI</v>
          </cell>
          <cell r="D173" t="str">
            <v>630</v>
          </cell>
          <cell r="E173" t="str">
            <v>Нет</v>
          </cell>
          <cell r="G173" t="str">
            <v>ПУЭРТО-РИКО</v>
          </cell>
        </row>
        <row r="174">
          <cell r="B174" t="str">
            <v>RE</v>
          </cell>
          <cell r="C174" t="str">
            <v>REU</v>
          </cell>
          <cell r="D174" t="str">
            <v>638</v>
          </cell>
          <cell r="E174" t="str">
            <v>Нет</v>
          </cell>
          <cell r="G174" t="str">
            <v>РЕЮНЬОН</v>
          </cell>
        </row>
        <row r="175">
          <cell r="B175" t="str">
            <v>RU</v>
          </cell>
          <cell r="C175" t="str">
            <v>RUS</v>
          </cell>
          <cell r="D175" t="str">
            <v>643</v>
          </cell>
          <cell r="E175" t="str">
            <v>Да</v>
          </cell>
          <cell r="F175" t="str">
            <v>Российская Федерация</v>
          </cell>
          <cell r="G175" t="str">
            <v>РОССИЯ</v>
          </cell>
        </row>
        <row r="176">
          <cell r="B176" t="str">
            <v>RW</v>
          </cell>
          <cell r="C176" t="str">
            <v>RWA</v>
          </cell>
          <cell r="D176" t="str">
            <v>646</v>
          </cell>
          <cell r="E176" t="str">
            <v>Нет</v>
          </cell>
          <cell r="F176" t="str">
            <v>Руандийская Республика</v>
          </cell>
          <cell r="G176" t="str">
            <v>РУАНДА</v>
          </cell>
        </row>
        <row r="177">
          <cell r="B177" t="str">
            <v>RO</v>
          </cell>
          <cell r="C177" t="str">
            <v>ROU</v>
          </cell>
          <cell r="D177" t="str">
            <v>642</v>
          </cell>
          <cell r="E177" t="str">
            <v>Нет</v>
          </cell>
          <cell r="G177" t="str">
            <v>РУМЫНИЯ</v>
          </cell>
        </row>
        <row r="178">
          <cell r="B178" t="str">
            <v>WS</v>
          </cell>
          <cell r="C178" t="str">
            <v>WSM</v>
          </cell>
          <cell r="D178" t="str">
            <v>882</v>
          </cell>
          <cell r="E178" t="str">
            <v>Нет</v>
          </cell>
          <cell r="F178" t="str">
            <v>Независимое Государство Самоа</v>
          </cell>
          <cell r="G178" t="str">
            <v>САМОА</v>
          </cell>
        </row>
        <row r="179">
          <cell r="B179" t="str">
            <v>SM</v>
          </cell>
          <cell r="C179" t="str">
            <v>SMR</v>
          </cell>
          <cell r="D179" t="str">
            <v>674</v>
          </cell>
          <cell r="E179" t="str">
            <v>Нет</v>
          </cell>
          <cell r="F179" t="str">
            <v>Республика Сан-Марино</v>
          </cell>
          <cell r="G179" t="str">
            <v>САН-МАРИНО</v>
          </cell>
        </row>
        <row r="180">
          <cell r="B180" t="str">
            <v>ST</v>
          </cell>
          <cell r="C180" t="str">
            <v>STP</v>
          </cell>
          <cell r="D180" t="str">
            <v>678</v>
          </cell>
          <cell r="E180" t="str">
            <v>Нет</v>
          </cell>
          <cell r="F180" t="str">
            <v>Демократическая Республика Сан-Томе и Принсипи</v>
          </cell>
          <cell r="G180" t="str">
            <v>САН-ТОМЕ И ПРИНСИПИ</v>
          </cell>
        </row>
        <row r="181">
          <cell r="B181" t="str">
            <v>SA</v>
          </cell>
          <cell r="C181" t="str">
            <v>SAU</v>
          </cell>
          <cell r="D181" t="str">
            <v>682</v>
          </cell>
          <cell r="E181" t="str">
            <v>Нет</v>
          </cell>
          <cell r="F181" t="str">
            <v>Королевство Саудовская Аравия</v>
          </cell>
          <cell r="G181" t="str">
            <v>САУДОВСКАЯ АРАВИЯ</v>
          </cell>
        </row>
        <row r="182">
          <cell r="B182" t="str">
            <v>SZ</v>
          </cell>
          <cell r="C182" t="str">
            <v>SWZ</v>
          </cell>
          <cell r="D182" t="str">
            <v>748</v>
          </cell>
          <cell r="E182" t="str">
            <v>Нет</v>
          </cell>
          <cell r="F182" t="str">
            <v>Королевство Эсватини</v>
          </cell>
          <cell r="G182" t="str">
            <v>ЭСВАТИНИ</v>
          </cell>
        </row>
        <row r="183">
          <cell r="B183" t="str">
            <v>SH</v>
          </cell>
          <cell r="C183" t="str">
            <v>SHN</v>
          </cell>
          <cell r="D183" t="str">
            <v>654</v>
          </cell>
          <cell r="E183" t="str">
            <v>Нет</v>
          </cell>
          <cell r="G183" t="str">
            <v>СВЯТАЯ ЕЛЕНА, ОСТРОВ ВОЗНЕСЕНИЯ, ТРИСТАН-ДА-КУНЬЯ</v>
          </cell>
        </row>
        <row r="184">
          <cell r="B184" t="str">
            <v>MP</v>
          </cell>
          <cell r="C184" t="str">
            <v>MNP</v>
          </cell>
          <cell r="D184" t="str">
            <v>580</v>
          </cell>
          <cell r="E184" t="str">
            <v>Нет</v>
          </cell>
          <cell r="F184" t="str">
            <v>Содружество Северных Марианских островов</v>
          </cell>
          <cell r="G184" t="str">
            <v>СЕВЕРНЫЕ МАРИАНСКИЕ ОСТРОВА</v>
          </cell>
        </row>
        <row r="185">
          <cell r="B185" t="str">
            <v>SC</v>
          </cell>
          <cell r="C185" t="str">
            <v>SYC</v>
          </cell>
          <cell r="D185" t="str">
            <v>690</v>
          </cell>
          <cell r="E185" t="str">
            <v>Нет</v>
          </cell>
          <cell r="F185" t="str">
            <v>Республика Сейшелы</v>
          </cell>
          <cell r="G185" t="str">
            <v>СЕЙШЕЛЫ</v>
          </cell>
        </row>
        <row r="186">
          <cell r="B186" t="str">
            <v>BL</v>
          </cell>
          <cell r="C186" t="str">
            <v>BLM</v>
          </cell>
          <cell r="D186" t="str">
            <v>652</v>
          </cell>
          <cell r="E186" t="str">
            <v>Нет</v>
          </cell>
          <cell r="G186" t="str">
            <v>СЕН-БАРТЕЛЕМИ</v>
          </cell>
        </row>
        <row r="187">
          <cell r="B187" t="str">
            <v>MF</v>
          </cell>
          <cell r="C187" t="str">
            <v>MAF</v>
          </cell>
          <cell r="D187" t="str">
            <v>663</v>
          </cell>
          <cell r="E187" t="str">
            <v>Нет</v>
          </cell>
          <cell r="G187" t="str">
            <v>СЕН-МАРТЕН</v>
          </cell>
        </row>
        <row r="188">
          <cell r="B188" t="str">
            <v>SX</v>
          </cell>
          <cell r="C188" t="str">
            <v>SXM</v>
          </cell>
          <cell r="D188" t="str">
            <v>534</v>
          </cell>
          <cell r="E188" t="str">
            <v>Нет</v>
          </cell>
          <cell r="G188" t="str">
            <v>СЕН-МАРТЕН (нидерландская часть)</v>
          </cell>
        </row>
        <row r="189">
          <cell r="B189" t="str">
            <v>SN</v>
          </cell>
          <cell r="C189" t="str">
            <v>SEN</v>
          </cell>
          <cell r="D189" t="str">
            <v>686</v>
          </cell>
          <cell r="E189" t="str">
            <v>Нет</v>
          </cell>
          <cell r="F189" t="str">
            <v>Республика Сенегал</v>
          </cell>
          <cell r="G189" t="str">
            <v>СЕНЕГАЛ</v>
          </cell>
        </row>
        <row r="190">
          <cell r="B190" t="str">
            <v>VC</v>
          </cell>
          <cell r="C190" t="str">
            <v>VCT</v>
          </cell>
          <cell r="D190" t="str">
            <v>670</v>
          </cell>
          <cell r="E190" t="str">
            <v>Нет</v>
          </cell>
          <cell r="G190" t="str">
            <v>СЕНТ-ВИНСЕНТ И ГРЕНАДИНЫ</v>
          </cell>
        </row>
        <row r="191">
          <cell r="B191" t="str">
            <v>KN</v>
          </cell>
          <cell r="C191" t="str">
            <v>KNA</v>
          </cell>
          <cell r="D191" t="str">
            <v>659</v>
          </cell>
          <cell r="E191" t="str">
            <v>Нет</v>
          </cell>
          <cell r="G191" t="str">
            <v>СЕНТ-КИТС И НЕВИС</v>
          </cell>
        </row>
        <row r="192">
          <cell r="B192" t="str">
            <v>LC</v>
          </cell>
          <cell r="C192" t="str">
            <v>LCA</v>
          </cell>
          <cell r="D192" t="str">
            <v>662</v>
          </cell>
          <cell r="E192" t="str">
            <v>Нет</v>
          </cell>
          <cell r="G192" t="str">
            <v>СЕНТ-ЛЮСИЯ</v>
          </cell>
        </row>
        <row r="193">
          <cell r="B193" t="str">
            <v>PM</v>
          </cell>
          <cell r="C193" t="str">
            <v>SPM</v>
          </cell>
          <cell r="D193" t="str">
            <v>666</v>
          </cell>
          <cell r="E193" t="str">
            <v>Нет</v>
          </cell>
          <cell r="G193" t="str">
            <v>СЕНТ-ПЬЕР И МИКЕЛОН</v>
          </cell>
        </row>
        <row r="194">
          <cell r="B194" t="str">
            <v>RS</v>
          </cell>
          <cell r="C194" t="str">
            <v>SRB</v>
          </cell>
          <cell r="D194" t="str">
            <v>688</v>
          </cell>
          <cell r="E194" t="str">
            <v>Нет</v>
          </cell>
          <cell r="F194" t="str">
            <v>Республика Сербия</v>
          </cell>
          <cell r="G194" t="str">
            <v>СЕРБИЯ</v>
          </cell>
        </row>
        <row r="195">
          <cell r="B195" t="str">
            <v>SG</v>
          </cell>
          <cell r="C195" t="str">
            <v>SGP</v>
          </cell>
          <cell r="D195" t="str">
            <v>702</v>
          </cell>
          <cell r="E195" t="str">
            <v>Нет</v>
          </cell>
          <cell r="F195" t="str">
            <v>Республика Сингапур</v>
          </cell>
          <cell r="G195" t="str">
            <v>СИНГАПУР</v>
          </cell>
        </row>
        <row r="196">
          <cell r="B196" t="str">
            <v>SY</v>
          </cell>
          <cell r="C196" t="str">
            <v>SYR</v>
          </cell>
          <cell r="D196" t="str">
            <v>760</v>
          </cell>
          <cell r="E196" t="str">
            <v>Нет</v>
          </cell>
          <cell r="G196" t="str">
            <v>СИРИЙСКАЯ АРАБСКАЯ РЕСПУБЛИКА</v>
          </cell>
        </row>
        <row r="197">
          <cell r="B197" t="str">
            <v>SK</v>
          </cell>
          <cell r="C197" t="str">
            <v>SVK</v>
          </cell>
          <cell r="D197" t="str">
            <v>703</v>
          </cell>
          <cell r="E197" t="str">
            <v>Нет</v>
          </cell>
          <cell r="F197" t="str">
            <v>Словацкая Республика</v>
          </cell>
          <cell r="G197" t="str">
            <v>СЛОВАКИЯ</v>
          </cell>
        </row>
        <row r="198">
          <cell r="B198" t="str">
            <v>SI</v>
          </cell>
          <cell r="C198" t="str">
            <v>SVN</v>
          </cell>
          <cell r="D198" t="str">
            <v>705</v>
          </cell>
          <cell r="E198" t="str">
            <v>Нет</v>
          </cell>
          <cell r="F198" t="str">
            <v>Республика Словения</v>
          </cell>
          <cell r="G198" t="str">
            <v>СЛОВЕНИЯ</v>
          </cell>
        </row>
        <row r="199">
          <cell r="B199" t="str">
            <v>GB</v>
          </cell>
          <cell r="C199" t="str">
            <v>GBR</v>
          </cell>
          <cell r="D199" t="str">
            <v>826</v>
          </cell>
          <cell r="E199" t="str">
            <v>Нет</v>
          </cell>
          <cell r="F199" t="str">
            <v>Соединенное Королевство Великобритании и Северной Ирландии</v>
          </cell>
          <cell r="G199" t="str">
            <v>СОЕДИНЕННОЕ КОРОЛЕВСТВО</v>
          </cell>
        </row>
        <row r="200">
          <cell r="B200" t="str">
            <v>US</v>
          </cell>
          <cell r="C200" t="str">
            <v>USA</v>
          </cell>
          <cell r="D200" t="str">
            <v>840</v>
          </cell>
          <cell r="E200" t="str">
            <v>Нет</v>
          </cell>
          <cell r="F200" t="str">
            <v>Соединенные Штаты Америки</v>
          </cell>
          <cell r="G200" t="str">
            <v>СОЕДИНЕННЫЕ ШТАТЫ</v>
          </cell>
        </row>
        <row r="201">
          <cell r="B201" t="str">
            <v>SB</v>
          </cell>
          <cell r="C201" t="str">
            <v>SLB</v>
          </cell>
          <cell r="D201" t="str">
            <v>090</v>
          </cell>
          <cell r="E201" t="str">
            <v>Нет</v>
          </cell>
          <cell r="G201" t="str">
            <v>СОЛОМОНОВЫ ОСТРОВА</v>
          </cell>
        </row>
        <row r="202">
          <cell r="B202" t="str">
            <v>SO</v>
          </cell>
          <cell r="C202" t="str">
            <v>SOM</v>
          </cell>
          <cell r="D202" t="str">
            <v>706</v>
          </cell>
          <cell r="E202" t="str">
            <v>Нет</v>
          </cell>
          <cell r="F202" t="str">
            <v>Федеративная Республика Сомали</v>
          </cell>
          <cell r="G202" t="str">
            <v>СОМАЛИ</v>
          </cell>
        </row>
        <row r="203">
          <cell r="B203" t="str">
            <v>SD</v>
          </cell>
          <cell r="C203" t="str">
            <v>SDN</v>
          </cell>
          <cell r="D203" t="str">
            <v>729</v>
          </cell>
          <cell r="E203" t="str">
            <v>Нет</v>
          </cell>
          <cell r="F203" t="str">
            <v>Республика Судан</v>
          </cell>
          <cell r="G203" t="str">
            <v>СУДАН</v>
          </cell>
        </row>
        <row r="204">
          <cell r="B204" t="str">
            <v>SR</v>
          </cell>
          <cell r="C204" t="str">
            <v>SUR</v>
          </cell>
          <cell r="D204" t="str">
            <v>740</v>
          </cell>
          <cell r="E204" t="str">
            <v>Нет</v>
          </cell>
          <cell r="F204" t="str">
            <v>Республика Суринам</v>
          </cell>
          <cell r="G204" t="str">
            <v>СУРИНАМ</v>
          </cell>
        </row>
        <row r="205">
          <cell r="B205" t="str">
            <v>SL</v>
          </cell>
          <cell r="C205" t="str">
            <v>SLE</v>
          </cell>
          <cell r="D205" t="str">
            <v>694</v>
          </cell>
          <cell r="E205" t="str">
            <v>Нет</v>
          </cell>
          <cell r="F205" t="str">
            <v>Республика Сьерра-Леоне</v>
          </cell>
          <cell r="G205" t="str">
            <v>СЬЕРРА-ЛЕОНЕ</v>
          </cell>
        </row>
        <row r="206">
          <cell r="B206" t="str">
            <v>TJ</v>
          </cell>
          <cell r="C206" t="str">
            <v>TJK</v>
          </cell>
          <cell r="D206" t="str">
            <v>762</v>
          </cell>
          <cell r="E206" t="str">
            <v>Нет</v>
          </cell>
          <cell r="F206" t="str">
            <v>Республика Таджикистан</v>
          </cell>
          <cell r="G206" t="str">
            <v>ТАДЖИКИСТАН</v>
          </cell>
        </row>
        <row r="207">
          <cell r="B207" t="str">
            <v>TH</v>
          </cell>
          <cell r="C207" t="str">
            <v>THA</v>
          </cell>
          <cell r="D207" t="str">
            <v>764</v>
          </cell>
          <cell r="E207" t="str">
            <v>Нет</v>
          </cell>
          <cell r="F207" t="str">
            <v>Королевство Таиланд</v>
          </cell>
          <cell r="G207" t="str">
            <v>ТАИЛАНД</v>
          </cell>
        </row>
        <row r="208">
          <cell r="B208" t="str">
            <v>TW</v>
          </cell>
          <cell r="C208" t="str">
            <v>TWN</v>
          </cell>
          <cell r="D208" t="str">
            <v>158</v>
          </cell>
          <cell r="E208" t="str">
            <v>Нет</v>
          </cell>
          <cell r="G208" t="str">
            <v>ТАЙВАНЬ (КИТАЙ)</v>
          </cell>
        </row>
        <row r="209">
          <cell r="B209" t="str">
            <v>TZ</v>
          </cell>
          <cell r="C209" t="str">
            <v>TZA</v>
          </cell>
          <cell r="D209" t="str">
            <v>834</v>
          </cell>
          <cell r="E209" t="str">
            <v>Нет</v>
          </cell>
          <cell r="F209" t="str">
            <v>Объединенная Республика Танзания</v>
          </cell>
          <cell r="G209" t="str">
            <v>ТАНЗАНИЯ, ОБЪЕДИНЕННАЯ РЕСПУБЛИКА</v>
          </cell>
        </row>
        <row r="210">
          <cell r="B210" t="str">
            <v>TG</v>
          </cell>
          <cell r="C210" t="str">
            <v>TGO</v>
          </cell>
          <cell r="D210" t="str">
            <v>768</v>
          </cell>
          <cell r="E210" t="str">
            <v>Нет</v>
          </cell>
          <cell r="F210" t="str">
            <v>Тоголезская Республика</v>
          </cell>
          <cell r="G210" t="str">
            <v>ТОГО</v>
          </cell>
        </row>
        <row r="211">
          <cell r="B211" t="str">
            <v>TK</v>
          </cell>
          <cell r="C211" t="str">
            <v>TKL</v>
          </cell>
          <cell r="D211" t="str">
            <v>772</v>
          </cell>
          <cell r="E211" t="str">
            <v>Нет</v>
          </cell>
          <cell r="G211" t="str">
            <v>ТОКЕЛАУ</v>
          </cell>
        </row>
        <row r="212">
          <cell r="B212" t="str">
            <v>TO</v>
          </cell>
          <cell r="C212" t="str">
            <v>TON</v>
          </cell>
          <cell r="D212" t="str">
            <v>776</v>
          </cell>
          <cell r="E212" t="str">
            <v>Нет</v>
          </cell>
          <cell r="F212" t="str">
            <v>Королевство Тонга</v>
          </cell>
          <cell r="G212" t="str">
            <v>ТОНГА</v>
          </cell>
        </row>
        <row r="213">
          <cell r="B213" t="str">
            <v>TT</v>
          </cell>
          <cell r="C213" t="str">
            <v>TTO</v>
          </cell>
          <cell r="D213" t="str">
            <v>780</v>
          </cell>
          <cell r="E213" t="str">
            <v>Нет</v>
          </cell>
          <cell r="F213" t="str">
            <v>Республика Тринидад и Тобаго</v>
          </cell>
          <cell r="G213" t="str">
            <v>ТРИНИДАД И ТОБАГО</v>
          </cell>
        </row>
        <row r="214">
          <cell r="B214" t="str">
            <v>TV</v>
          </cell>
          <cell r="C214" t="str">
            <v>TUV</v>
          </cell>
          <cell r="D214" t="str">
            <v>798</v>
          </cell>
          <cell r="E214" t="str">
            <v>Нет</v>
          </cell>
          <cell r="G214" t="str">
            <v>ТУВАЛУ</v>
          </cell>
        </row>
        <row r="215">
          <cell r="B215" t="str">
            <v>TN</v>
          </cell>
          <cell r="C215" t="str">
            <v>TUN</v>
          </cell>
          <cell r="D215" t="str">
            <v>788</v>
          </cell>
          <cell r="E215" t="str">
            <v>Нет</v>
          </cell>
          <cell r="F215" t="str">
            <v>Тунисская Республика</v>
          </cell>
          <cell r="G215" t="str">
            <v>ТУНИС</v>
          </cell>
        </row>
        <row r="216">
          <cell r="B216" t="str">
            <v>TM</v>
          </cell>
          <cell r="C216" t="str">
            <v>TKM</v>
          </cell>
          <cell r="D216" t="str">
            <v>795</v>
          </cell>
          <cell r="E216" t="str">
            <v>Нет</v>
          </cell>
          <cell r="F216" t="str">
            <v>Туркменистан</v>
          </cell>
          <cell r="G216" t="str">
            <v>ТУРКМЕНИСТАН</v>
          </cell>
        </row>
        <row r="217">
          <cell r="B217" t="str">
            <v>TR</v>
          </cell>
          <cell r="C217" t="str">
            <v>TUR</v>
          </cell>
          <cell r="D217" t="str">
            <v>792</v>
          </cell>
          <cell r="E217" t="str">
            <v>Нет</v>
          </cell>
          <cell r="F217" t="str">
            <v>Турецкая Республика</v>
          </cell>
          <cell r="G217" t="str">
            <v>ТУРЦИЯ</v>
          </cell>
        </row>
        <row r="218">
          <cell r="B218" t="str">
            <v>UG</v>
          </cell>
          <cell r="C218" t="str">
            <v>UGA</v>
          </cell>
          <cell r="D218" t="str">
            <v>800</v>
          </cell>
          <cell r="E218" t="str">
            <v>Нет</v>
          </cell>
          <cell r="F218" t="str">
            <v>Республика Уганда</v>
          </cell>
          <cell r="G218" t="str">
            <v>УГАНДА</v>
          </cell>
        </row>
        <row r="219">
          <cell r="B219" t="str">
            <v>UZ</v>
          </cell>
          <cell r="C219" t="str">
            <v>UZB</v>
          </cell>
          <cell r="D219" t="str">
            <v>860</v>
          </cell>
          <cell r="E219" t="str">
            <v>Нет</v>
          </cell>
          <cell r="F219" t="str">
            <v>Республика Узбекистан</v>
          </cell>
          <cell r="G219" t="str">
            <v>УЗБЕКИСТАН</v>
          </cell>
        </row>
        <row r="220">
          <cell r="B220" t="str">
            <v>UA</v>
          </cell>
          <cell r="C220" t="str">
            <v>UKR</v>
          </cell>
          <cell r="D220" t="str">
            <v>804</v>
          </cell>
          <cell r="E220" t="str">
            <v>Нет</v>
          </cell>
          <cell r="G220" t="str">
            <v>УКРАИНА</v>
          </cell>
        </row>
        <row r="221">
          <cell r="B221" t="str">
            <v>WF</v>
          </cell>
          <cell r="C221" t="str">
            <v>WLF</v>
          </cell>
          <cell r="D221" t="str">
            <v>876</v>
          </cell>
          <cell r="E221" t="str">
            <v>Нет</v>
          </cell>
          <cell r="G221" t="str">
            <v>УОЛЛИС И ФУТУНА</v>
          </cell>
        </row>
        <row r="222">
          <cell r="B222" t="str">
            <v>UY</v>
          </cell>
          <cell r="C222" t="str">
            <v>URY</v>
          </cell>
          <cell r="D222" t="str">
            <v>858</v>
          </cell>
          <cell r="E222" t="str">
            <v>Нет</v>
          </cell>
          <cell r="F222" t="str">
            <v>Восточная Республика Уругвай</v>
          </cell>
          <cell r="G222" t="str">
            <v>УРУГВАЙ</v>
          </cell>
        </row>
        <row r="223">
          <cell r="B223" t="str">
            <v>FO</v>
          </cell>
          <cell r="C223" t="str">
            <v>FRO</v>
          </cell>
          <cell r="D223" t="str">
            <v>234</v>
          </cell>
          <cell r="E223" t="str">
            <v>Нет</v>
          </cell>
          <cell r="G223" t="str">
            <v>ФАРЕРСКИЕ ОСТРОВА</v>
          </cell>
        </row>
        <row r="224">
          <cell r="B224" t="str">
            <v>FJ</v>
          </cell>
          <cell r="C224" t="str">
            <v>FJI</v>
          </cell>
          <cell r="D224" t="str">
            <v>242</v>
          </cell>
          <cell r="E224" t="str">
            <v>Нет</v>
          </cell>
          <cell r="F224" t="str">
            <v>Республика Фиджи</v>
          </cell>
          <cell r="G224" t="str">
            <v>ФИДЖИ</v>
          </cell>
        </row>
        <row r="225">
          <cell r="B225" t="str">
            <v>PH</v>
          </cell>
          <cell r="C225" t="str">
            <v>PHL</v>
          </cell>
          <cell r="D225" t="str">
            <v>608</v>
          </cell>
          <cell r="E225" t="str">
            <v>Нет</v>
          </cell>
          <cell r="F225" t="str">
            <v>Республика Филиппины</v>
          </cell>
          <cell r="G225" t="str">
            <v>ФИЛИППИНЫ</v>
          </cell>
        </row>
        <row r="226">
          <cell r="B226" t="str">
            <v>FI</v>
          </cell>
          <cell r="C226" t="str">
            <v>FIN</v>
          </cell>
          <cell r="D226" t="str">
            <v>246</v>
          </cell>
          <cell r="E226" t="str">
            <v>Нет</v>
          </cell>
          <cell r="F226" t="str">
            <v>Финляндская Республика</v>
          </cell>
          <cell r="G226" t="str">
            <v>ФИНЛЯНДИЯ</v>
          </cell>
        </row>
        <row r="227">
          <cell r="B227" t="str">
            <v>FK</v>
          </cell>
          <cell r="C227" t="str">
            <v>FLK</v>
          </cell>
          <cell r="D227" t="str">
            <v>238</v>
          </cell>
          <cell r="E227" t="str">
            <v>Нет</v>
          </cell>
          <cell r="G227" t="str">
            <v>ФОЛКЛЕНДСКИЕ ОСТРОВА (МАЛЬВИНСКИЕ)</v>
          </cell>
        </row>
        <row r="228">
          <cell r="B228" t="str">
            <v>FR</v>
          </cell>
          <cell r="C228" t="str">
            <v>FRA</v>
          </cell>
          <cell r="D228" t="str">
            <v>250</v>
          </cell>
          <cell r="E228" t="str">
            <v>Нет</v>
          </cell>
          <cell r="F228" t="str">
            <v>Французская Республика</v>
          </cell>
          <cell r="G228" t="str">
            <v>ФРАНЦИЯ</v>
          </cell>
        </row>
        <row r="229">
          <cell r="B229" t="str">
            <v>GF</v>
          </cell>
          <cell r="C229" t="str">
            <v>GUF</v>
          </cell>
          <cell r="D229" t="str">
            <v>254</v>
          </cell>
          <cell r="E229" t="str">
            <v>Нет</v>
          </cell>
          <cell r="G229" t="str">
            <v>ФРАНЦУЗСКАЯ ГВИАНА</v>
          </cell>
        </row>
        <row r="230">
          <cell r="B230" t="str">
            <v>PF</v>
          </cell>
          <cell r="C230" t="str">
            <v>PYF</v>
          </cell>
          <cell r="D230" t="str">
            <v>258</v>
          </cell>
          <cell r="E230" t="str">
            <v>Нет</v>
          </cell>
          <cell r="G230" t="str">
            <v>ФРАНЦУЗСКАЯ ПОЛИНЕЗИЯ</v>
          </cell>
        </row>
        <row r="231">
          <cell r="B231" t="str">
            <v>TF</v>
          </cell>
          <cell r="C231" t="str">
            <v>ATF</v>
          </cell>
          <cell r="D231" t="str">
            <v>260</v>
          </cell>
          <cell r="E231" t="str">
            <v>Нет</v>
          </cell>
          <cell r="G231" t="str">
            <v>ФРАНЦУЗСКИЕ ЮЖНЫЕ ТЕРРИТОРИИ</v>
          </cell>
        </row>
        <row r="232">
          <cell r="B232" t="str">
            <v>HR</v>
          </cell>
          <cell r="C232" t="str">
            <v>HRV</v>
          </cell>
          <cell r="D232" t="str">
            <v>191</v>
          </cell>
          <cell r="E232" t="str">
            <v>Нет</v>
          </cell>
          <cell r="F232" t="str">
            <v>Республика Хорватия</v>
          </cell>
          <cell r="G232" t="str">
            <v>ХОРВАТИЯ</v>
          </cell>
        </row>
        <row r="233">
          <cell r="B233" t="str">
            <v>CF</v>
          </cell>
          <cell r="C233" t="str">
            <v>CAF</v>
          </cell>
          <cell r="D233" t="str">
            <v>140</v>
          </cell>
          <cell r="E233" t="str">
            <v>Нет</v>
          </cell>
          <cell r="G233" t="str">
            <v>ЦЕНТРАЛЬНО-АФРИКАНСКАЯ РЕСПУБЛИКА</v>
          </cell>
        </row>
        <row r="234">
          <cell r="B234" t="str">
            <v>TD</v>
          </cell>
          <cell r="C234" t="str">
            <v>TCD</v>
          </cell>
          <cell r="D234" t="str">
            <v>148</v>
          </cell>
          <cell r="E234" t="str">
            <v>Нет</v>
          </cell>
          <cell r="F234" t="str">
            <v>Республика Чад</v>
          </cell>
          <cell r="G234" t="str">
            <v>ЧАД</v>
          </cell>
        </row>
        <row r="235">
          <cell r="B235" t="str">
            <v>ME</v>
          </cell>
          <cell r="C235" t="str">
            <v>MNE</v>
          </cell>
          <cell r="D235" t="str">
            <v>499</v>
          </cell>
          <cell r="E235" t="str">
            <v>Нет</v>
          </cell>
          <cell r="G235" t="str">
            <v>ЧЕРНОГОРИЯ</v>
          </cell>
        </row>
        <row r="236">
          <cell r="B236" t="str">
            <v>CZ</v>
          </cell>
          <cell r="C236" t="str">
            <v>CZE</v>
          </cell>
          <cell r="D236" t="str">
            <v>203</v>
          </cell>
          <cell r="E236" t="str">
            <v>Нет</v>
          </cell>
          <cell r="F236" t="str">
            <v>Чешская республика</v>
          </cell>
          <cell r="G236" t="str">
            <v>ЧЕХИЯ</v>
          </cell>
        </row>
        <row r="237">
          <cell r="B237" t="str">
            <v>CL</v>
          </cell>
          <cell r="C237" t="str">
            <v>CHL</v>
          </cell>
          <cell r="D237" t="str">
            <v>152</v>
          </cell>
          <cell r="E237" t="str">
            <v>Нет</v>
          </cell>
          <cell r="F237" t="str">
            <v>Республика Чили</v>
          </cell>
          <cell r="G237" t="str">
            <v>ЧИЛИ</v>
          </cell>
        </row>
        <row r="238">
          <cell r="B238" t="str">
            <v>CH</v>
          </cell>
          <cell r="C238" t="str">
            <v>CHE</v>
          </cell>
          <cell r="D238" t="str">
            <v>756</v>
          </cell>
          <cell r="E238" t="str">
            <v>Нет</v>
          </cell>
          <cell r="F238" t="str">
            <v>Швейцарская Конфедерация</v>
          </cell>
          <cell r="G238" t="str">
            <v>ШВЕЙЦАРИЯ</v>
          </cell>
        </row>
        <row r="239">
          <cell r="B239" t="str">
            <v>SE</v>
          </cell>
          <cell r="C239" t="str">
            <v>SWE</v>
          </cell>
          <cell r="D239" t="str">
            <v>752</v>
          </cell>
          <cell r="E239" t="str">
            <v>Нет</v>
          </cell>
          <cell r="F239" t="str">
            <v>Королевство Швеция</v>
          </cell>
          <cell r="G239" t="str">
            <v>ШВЕЦИЯ</v>
          </cell>
        </row>
        <row r="240">
          <cell r="B240" t="str">
            <v>SJ</v>
          </cell>
          <cell r="C240" t="str">
            <v>SJM</v>
          </cell>
          <cell r="D240" t="str">
            <v>744</v>
          </cell>
          <cell r="E240" t="str">
            <v>Нет</v>
          </cell>
          <cell r="G240" t="str">
            <v>ШПИЦБЕРГЕН И ЯН МАЙЕН</v>
          </cell>
        </row>
        <row r="241">
          <cell r="B241" t="str">
            <v>LK</v>
          </cell>
          <cell r="C241" t="str">
            <v>LKA</v>
          </cell>
          <cell r="D241" t="str">
            <v>144</v>
          </cell>
          <cell r="E241" t="str">
            <v>Нет</v>
          </cell>
          <cell r="F241" t="str">
            <v>Демократическая Социалистическая Республика Шри-Ланка</v>
          </cell>
          <cell r="G241" t="str">
            <v>ШРИ-ЛАНКА</v>
          </cell>
        </row>
        <row r="242">
          <cell r="B242" t="str">
            <v>EC</v>
          </cell>
          <cell r="C242" t="str">
            <v>ECU</v>
          </cell>
          <cell r="D242" t="str">
            <v>218</v>
          </cell>
          <cell r="E242" t="str">
            <v>Нет</v>
          </cell>
          <cell r="F242" t="str">
            <v>Республика Эквадор</v>
          </cell>
          <cell r="G242" t="str">
            <v>ЭКВАДОР</v>
          </cell>
        </row>
        <row r="243">
          <cell r="B243" t="str">
            <v>GQ</v>
          </cell>
          <cell r="C243" t="str">
            <v>GNQ</v>
          </cell>
          <cell r="D243" t="str">
            <v>226</v>
          </cell>
          <cell r="E243" t="str">
            <v>Нет</v>
          </cell>
          <cell r="F243" t="str">
            <v>Республика Экваториальная Гвинея</v>
          </cell>
          <cell r="G243" t="str">
            <v>ЭКВАТОРИАЛЬНАЯ ГВИНЕЯ</v>
          </cell>
        </row>
        <row r="244">
          <cell r="B244" t="str">
            <v>АХ</v>
          </cell>
          <cell r="C244" t="str">
            <v>ALA</v>
          </cell>
          <cell r="D244" t="str">
            <v>248</v>
          </cell>
          <cell r="E244" t="str">
            <v>Нет</v>
          </cell>
          <cell r="G244" t="str">
            <v>ЭЛАНДСКИЕ ОСТРОВА</v>
          </cell>
        </row>
        <row r="245">
          <cell r="B245" t="str">
            <v>SV</v>
          </cell>
          <cell r="C245" t="str">
            <v>SLV</v>
          </cell>
          <cell r="D245" t="str">
            <v>222</v>
          </cell>
          <cell r="E245" t="str">
            <v>Нет</v>
          </cell>
          <cell r="F245" t="str">
            <v>Республика Эль-Сальвадор</v>
          </cell>
          <cell r="G245" t="str">
            <v>ЭЛЬ-САЛЬВАДОР</v>
          </cell>
        </row>
        <row r="246">
          <cell r="B246" t="str">
            <v>ER</v>
          </cell>
          <cell r="C246" t="str">
            <v>ERI</v>
          </cell>
          <cell r="D246" t="str">
            <v>232</v>
          </cell>
          <cell r="E246" t="str">
            <v>Нет</v>
          </cell>
          <cell r="F246" t="str">
            <v>Государство Эритрея</v>
          </cell>
          <cell r="G246" t="str">
            <v>ЭРИТРЕЯ</v>
          </cell>
        </row>
        <row r="247">
          <cell r="B247" t="str">
            <v>EE</v>
          </cell>
          <cell r="C247" t="str">
            <v>EST</v>
          </cell>
          <cell r="D247" t="str">
            <v>233</v>
          </cell>
          <cell r="E247" t="str">
            <v>Нет</v>
          </cell>
          <cell r="F247" t="str">
            <v>Эстонская Республика</v>
          </cell>
          <cell r="G247" t="str">
            <v>ЭСТОНИЯ</v>
          </cell>
        </row>
        <row r="248">
          <cell r="B248" t="str">
            <v>ET</v>
          </cell>
          <cell r="C248" t="str">
            <v>ETH</v>
          </cell>
          <cell r="D248" t="str">
            <v>231</v>
          </cell>
          <cell r="E248" t="str">
            <v>Нет</v>
          </cell>
          <cell r="F248" t="str">
            <v>Федеративная Демократическая Республика Эфиопия</v>
          </cell>
          <cell r="G248" t="str">
            <v>ЭФИОПИЯ</v>
          </cell>
        </row>
        <row r="249">
          <cell r="B249" t="str">
            <v>ZA</v>
          </cell>
          <cell r="C249" t="str">
            <v>ZAF</v>
          </cell>
          <cell r="D249" t="str">
            <v>710</v>
          </cell>
          <cell r="E249" t="str">
            <v>Нет</v>
          </cell>
          <cell r="F249" t="str">
            <v>Южно-Африканская Республика</v>
          </cell>
          <cell r="G249" t="str">
            <v>ЮЖНАЯ АФРИКА</v>
          </cell>
        </row>
        <row r="250">
          <cell r="B250" t="str">
            <v>GS</v>
          </cell>
          <cell r="C250" t="str">
            <v>SGS</v>
          </cell>
          <cell r="D250" t="str">
            <v>239</v>
          </cell>
          <cell r="E250" t="str">
            <v>Нет</v>
          </cell>
          <cell r="G250" t="str">
            <v>ЮЖНАЯ ДЖОРДЖИЯ И ЮЖНЫЕ САНДВИЧЕВЫ ОСТРОВА</v>
          </cell>
        </row>
        <row r="251">
          <cell r="B251" t="str">
            <v>OS</v>
          </cell>
          <cell r="C251" t="str">
            <v>OST</v>
          </cell>
          <cell r="D251" t="str">
            <v>896</v>
          </cell>
          <cell r="E251" t="str">
            <v>Нет</v>
          </cell>
          <cell r="F251" t="str">
            <v>Республика Южная Осетия</v>
          </cell>
          <cell r="G251" t="str">
            <v>ЮЖНАЯ ОСЕТИЯ</v>
          </cell>
        </row>
        <row r="252">
          <cell r="B252" t="str">
            <v>SS</v>
          </cell>
          <cell r="C252" t="str">
            <v>SSD</v>
          </cell>
          <cell r="D252" t="str">
            <v>728</v>
          </cell>
          <cell r="E252" t="str">
            <v>Нет</v>
          </cell>
          <cell r="F252" t="str">
            <v>Республика Южный Судан</v>
          </cell>
          <cell r="G252" t="str">
            <v>ЮЖНЫЙ СУДАН</v>
          </cell>
        </row>
        <row r="253">
          <cell r="B253" t="str">
            <v>JM</v>
          </cell>
          <cell r="C253" t="str">
            <v>JAM</v>
          </cell>
          <cell r="D253" t="str">
            <v>388</v>
          </cell>
          <cell r="E253" t="str">
            <v>Нет</v>
          </cell>
          <cell r="G253" t="str">
            <v>ЯМАЙКА</v>
          </cell>
        </row>
        <row r="254">
          <cell r="B254" t="str">
            <v>JP</v>
          </cell>
          <cell r="C254" t="str">
            <v>JPN</v>
          </cell>
          <cell r="D254" t="str">
            <v>392</v>
          </cell>
          <cell r="E254" t="str">
            <v>Нет</v>
          </cell>
          <cell r="G254" t="str">
            <v>ЯПОНИЯ</v>
          </cell>
        </row>
      </sheetData>
      <sheetData sheetId="8">
        <row r="4">
          <cell r="A4" t="str">
            <v>OptiAuto  FZE</v>
          </cell>
          <cell r="B4" t="str">
            <v>OptiAuto  FZE</v>
          </cell>
        </row>
        <row r="5">
          <cell r="B5" t="str">
            <v>FZE Warehouse No B-07</v>
          </cell>
        </row>
        <row r="6">
          <cell r="B6" t="str">
            <v>Umm Al Quwain Free Trade Zone</v>
          </cell>
        </row>
        <row r="7">
          <cell r="B7" t="str">
            <v>Al Barqaa,  Umm Al Quwain, UAE</v>
          </cell>
        </row>
        <row r="8">
          <cell r="B8" t="str">
            <v>optiautofze@gmail.com</v>
          </cell>
        </row>
        <row r="10">
          <cell r="A10" t="str">
            <v>LLC Yural</v>
          </cell>
          <cell r="B10" t="str">
            <v>LLC Yural 117246,</v>
          </cell>
        </row>
        <row r="11">
          <cell r="B11" t="str">
            <v>Moscow, Cheryomushki Municipal District,</v>
          </cell>
        </row>
        <row r="12">
          <cell r="B12" t="str">
            <v>Nauchniy Proezd 17,</v>
          </cell>
        </row>
        <row r="13">
          <cell r="B13" t="str">
            <v>Room 40/16, Russian Federation,</v>
          </cell>
        </row>
        <row r="14">
          <cell r="B14" t="str">
            <v>INN\KPP 7714898801 / 772801001,</v>
          </cell>
        </row>
        <row r="15">
          <cell r="B15" t="str">
            <v>OGRN 1137746168010</v>
          </cell>
        </row>
        <row r="17">
          <cell r="A17" t="str">
            <v>GEOMETRYA LLC</v>
          </cell>
          <cell r="B17" t="str">
            <v>GEOMETRYA LLC</v>
          </cell>
        </row>
        <row r="18">
          <cell r="B18" t="str">
            <v>TIN 7704306541 / KPP 772901001</v>
          </cell>
        </row>
        <row r="19">
          <cell r="B19" t="str">
            <v>PSRN 1157746140420</v>
          </cell>
        </row>
      </sheetData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S188"/>
  <sheetViews>
    <sheetView tabSelected="1" view="pageBreakPreview" zoomScaleNormal="100" workbookViewId="0">
      <pane ySplit="22" topLeftCell="A179" activePane="bottomLeft" state="frozen"/>
      <selection pane="bottomLeft" activeCell="N15" sqref="N15:O15"/>
    </sheetView>
  </sheetViews>
  <sheetFormatPr baseColWidth="10" defaultColWidth="3.83203125" defaultRowHeight="11"/>
  <cols>
    <col width="1.5" customWidth="1" style="1" min="1" max="1"/>
    <col width="4.6640625" customWidth="1" style="9" min="2" max="2"/>
    <col width="11.5" customWidth="1" style="9" min="3" max="3"/>
    <col width="15.5" customWidth="1" style="9" min="4" max="4"/>
    <col width="39.6640625" customWidth="1" style="9" min="5" max="5"/>
    <col hidden="1" outlineLevel="1" width="39.6640625" customWidth="1" style="9" min="6" max="6"/>
    <col collapsed="1" width="7.33203125" customWidth="1" style="9" min="7" max="7"/>
    <col width="6.83203125" customWidth="1" style="13" min="8" max="8"/>
    <col width="7.5" customWidth="1" style="9" min="9" max="9"/>
    <col hidden="1" outlineLevel="1" width="7.5" customWidth="1" style="9" min="10" max="10"/>
    <col hidden="1" outlineLevel="1" width="8.83203125" customWidth="1" style="9" min="11" max="11"/>
    <col collapsed="1" width="11.83203125" customWidth="1" style="9" min="12" max="12"/>
    <col width="10.5" customWidth="1" style="9" min="13" max="13"/>
    <col width="6.33203125" customWidth="1" style="9" min="14" max="14"/>
    <col width="10.33203125" customWidth="1" style="9" min="15" max="15"/>
    <col width="14.5" customWidth="1" style="9" min="16" max="16"/>
    <col width="16.83203125" customWidth="1" style="9" min="17" max="17"/>
    <col hidden="1" outlineLevel="1" width="12.1640625" customWidth="1" style="9" min="18" max="21"/>
    <col hidden="1" outlineLevel="1" width="41.1640625" customWidth="1" style="9" min="22" max="23"/>
    <col collapsed="1" width="12.5" customWidth="1" style="9" min="24" max="24"/>
    <col width="3.5" customWidth="1" style="74" min="25" max="25"/>
    <col width="10.6640625" customWidth="1" style="9" min="26" max="26"/>
    <col width="6.6640625" customWidth="1" style="9" min="27" max="27"/>
    <col width="6.5" customWidth="1" style="9" min="28" max="28"/>
    <col width="11.33203125" customWidth="1" style="9" min="29" max="29"/>
    <col width="19.83203125" customWidth="1" style="9" min="30" max="30"/>
    <col width="11.33203125" customWidth="1" style="9" min="31" max="31"/>
    <col width="10.1640625" customWidth="1" style="64" min="32" max="32"/>
    <col width="6.83203125" customWidth="1" style="9" min="33" max="33"/>
    <col width="17.1640625" customWidth="1" style="9" min="34" max="34"/>
    <col width="5.83203125" customWidth="1" style="9" min="35" max="35"/>
    <col width="6.1640625" customWidth="1" style="9" min="36" max="36"/>
    <col width="2.5" customWidth="1" style="40" min="37" max="37"/>
    <col width="6.83203125" customWidth="1" style="40" min="38" max="38"/>
    <col width="2.5" customWidth="1" style="40" min="39" max="39"/>
    <col width="6.33203125" customWidth="1" style="9" min="40" max="40"/>
    <col width="5.5" customWidth="1" style="9" min="41" max="41"/>
    <col width="8.33203125" customWidth="1" style="9" min="42" max="42"/>
    <col width="7.5" customWidth="1" style="9" min="43" max="43"/>
    <col width="9.5" customWidth="1" style="9" min="44" max="44"/>
    <col width="8.33203125" customWidth="1" style="9" min="45" max="45"/>
    <col width="3.83203125" customWidth="1" style="9" min="46" max="46"/>
    <col width="7.33203125" customWidth="1" style="9" min="47" max="47"/>
    <col width="5.1640625" customWidth="1" style="9" min="48" max="48"/>
    <col width="3.83203125" customWidth="1" style="9" min="49" max="49"/>
    <col width="3.83203125" customWidth="1" style="9" min="50" max="16384"/>
  </cols>
  <sheetData>
    <row r="1" ht="10.5" customHeight="1">
      <c r="G1" s="40" t="n"/>
      <c r="H1" s="40" t="n"/>
      <c r="N1" s="40" t="n"/>
      <c r="P1" s="40" t="n"/>
      <c r="Q1" s="40" t="n"/>
      <c r="Y1" s="9" t="n"/>
      <c r="AC1" s="40" t="n"/>
      <c r="AD1" s="40" t="n"/>
      <c r="AE1" s="40" t="n"/>
      <c r="AF1" s="9" t="n"/>
      <c r="AK1" s="4" t="n"/>
      <c r="AL1" s="5" t="n"/>
      <c r="AM1" s="4" t="n"/>
      <c r="AN1" s="6" t="n"/>
      <c r="AO1" s="6" t="n"/>
      <c r="AP1" s="6" t="n"/>
      <c r="AQ1" s="7" t="n"/>
      <c r="AR1" s="6" t="n"/>
      <c r="AS1" s="6" t="n"/>
    </row>
    <row r="2" ht="10.5" customHeight="1">
      <c r="G2" s="40" t="n"/>
      <c r="H2" s="40" t="n"/>
      <c r="N2" s="40" t="n"/>
      <c r="P2" s="40" t="n"/>
      <c r="Q2" s="40" t="n"/>
      <c r="Y2" s="9" t="n"/>
      <c r="AC2" s="40" t="n"/>
      <c r="AD2" s="40" t="n"/>
      <c r="AE2" s="40" t="n"/>
      <c r="AF2" s="9" t="n"/>
      <c r="AK2" s="4" t="n"/>
      <c r="AL2" s="5" t="n"/>
      <c r="AM2" s="4" t="n"/>
      <c r="AN2" s="6" t="n"/>
      <c r="AO2" s="6" t="n"/>
      <c r="AP2" s="6" t="n"/>
      <c r="AQ2" s="7" t="n"/>
      <c r="AR2" s="6" t="n"/>
      <c r="AS2" s="6" t="n"/>
    </row>
    <row r="3" ht="10.5" customHeight="1">
      <c r="G3" s="40" t="n"/>
      <c r="H3" s="40" t="n"/>
      <c r="N3" s="40" t="n"/>
      <c r="P3" s="40" t="n"/>
      <c r="Q3" s="40" t="n"/>
      <c r="Y3" s="9" t="n"/>
      <c r="AC3" s="40" t="n"/>
      <c r="AD3" s="40" t="n"/>
      <c r="AE3" s="40" t="n"/>
      <c r="AF3" s="9" t="n"/>
      <c r="AK3" s="4" t="n"/>
      <c r="AL3" s="5" t="n"/>
      <c r="AM3" s="4" t="n"/>
      <c r="AN3" s="6" t="n"/>
      <c r="AO3" s="6" t="n"/>
      <c r="AP3" s="6" t="n"/>
      <c r="AQ3" s="7" t="n"/>
      <c r="AR3" s="6" t="n"/>
      <c r="AS3" s="6" t="n"/>
    </row>
    <row r="4" ht="10.5" customHeight="1">
      <c r="G4" s="40" t="n"/>
      <c r="H4" s="40" t="n"/>
      <c r="N4" s="40" t="n"/>
      <c r="P4" s="40" t="n"/>
      <c r="Q4" s="40" t="n"/>
      <c r="Y4" s="9" t="n"/>
      <c r="AC4" s="40" t="n"/>
      <c r="AD4" s="40" t="n"/>
      <c r="AE4" s="40" t="n"/>
      <c r="AF4" s="9" t="n"/>
      <c r="AK4" s="4" t="n"/>
      <c r="AL4" s="5" t="n"/>
      <c r="AM4" s="4" t="n"/>
      <c r="AN4" s="6" t="n"/>
      <c r="AO4" s="6" t="n"/>
      <c r="AP4" s="6" t="n"/>
      <c r="AQ4" s="7" t="n"/>
      <c r="AR4" s="6" t="n"/>
      <c r="AS4" s="6" t="n"/>
    </row>
    <row r="5" ht="10.5" customHeight="1">
      <c r="G5" s="40" t="n"/>
      <c r="H5" s="40" t="n"/>
      <c r="N5" s="40" t="n"/>
      <c r="P5" s="40" t="n"/>
      <c r="Q5" s="40" t="n"/>
      <c r="Y5" s="9" t="n"/>
      <c r="AC5" s="40" t="n"/>
      <c r="AD5" s="40" t="n"/>
      <c r="AE5" s="40" t="n"/>
      <c r="AF5" s="9" t="n"/>
      <c r="AK5" s="4" t="n"/>
      <c r="AL5" s="5" t="n"/>
      <c r="AM5" s="4" t="n"/>
      <c r="AN5" s="6" t="n"/>
      <c r="AO5" s="6" t="n"/>
      <c r="AP5" s="6" t="n"/>
      <c r="AQ5" s="7" t="n"/>
      <c r="AR5" s="6" t="n"/>
      <c r="AS5" s="6" t="n"/>
    </row>
    <row r="6" ht="10.5" customHeight="1">
      <c r="G6" s="40" t="n"/>
      <c r="H6" s="40" t="n"/>
      <c r="N6" s="40" t="n"/>
      <c r="P6" s="40" t="n"/>
      <c r="Q6" s="40" t="n"/>
      <c r="Y6" s="9" t="n"/>
      <c r="AC6" s="40" t="n"/>
      <c r="AD6" s="40" t="n"/>
      <c r="AE6" s="40" t="n"/>
      <c r="AF6" s="9" t="n"/>
      <c r="AK6" s="4" t="n"/>
      <c r="AL6" s="5" t="n"/>
      <c r="AM6" s="4" t="n"/>
      <c r="AN6" s="6" t="n"/>
      <c r="AO6" s="6" t="n"/>
      <c r="AP6" s="6" t="n"/>
      <c r="AQ6" s="7" t="n"/>
      <c r="AR6" s="6" t="n"/>
      <c r="AS6" s="6" t="n"/>
    </row>
    <row r="7" ht="10.5" customHeight="1">
      <c r="G7" s="40" t="n"/>
      <c r="H7" s="40" t="n"/>
      <c r="N7" s="40" t="n"/>
      <c r="P7" s="40" t="n"/>
      <c r="Q7" s="40" t="n"/>
      <c r="Y7" s="9" t="n"/>
      <c r="AC7" s="40" t="n"/>
      <c r="AD7" s="40" t="n"/>
      <c r="AE7" s="40" t="n"/>
      <c r="AF7" s="9" t="n"/>
      <c r="AK7" s="4" t="n"/>
      <c r="AL7" s="5" t="n"/>
      <c r="AM7" s="4" t="n"/>
      <c r="AN7" s="6" t="n"/>
      <c r="AO7" s="6" t="n"/>
      <c r="AP7" s="6" t="n"/>
      <c r="AQ7" s="7" t="n"/>
      <c r="AR7" s="6" t="n"/>
      <c r="AS7" s="6" t="n"/>
    </row>
    <row r="8" ht="12.75" customHeight="1">
      <c r="B8" s="10" t="inlineStr">
        <is>
          <t>TAX INVOICE</t>
        </is>
      </c>
      <c r="S8" s="10" t="n"/>
      <c r="T8" s="10" t="n"/>
      <c r="U8" s="10" t="n"/>
      <c r="V8" s="10" t="n"/>
      <c r="W8" s="10" t="n"/>
      <c r="X8" s="10" t="n"/>
      <c r="Y8" s="9" t="n"/>
      <c r="AC8" s="40" t="n"/>
      <c r="AD8" s="40" t="n"/>
      <c r="AE8" s="40" t="n"/>
      <c r="AF8" s="9" t="n"/>
      <c r="AK8" s="4" t="n"/>
      <c r="AL8" s="5" t="n"/>
      <c r="AM8" s="4" t="n"/>
      <c r="AN8" s="6" t="n"/>
      <c r="AO8" s="6" t="n"/>
      <c r="AP8" s="6" t="n"/>
      <c r="AQ8" s="7" t="n"/>
      <c r="AR8" s="6" t="n"/>
      <c r="AS8" s="6" t="n"/>
    </row>
    <row r="9" ht="10.25" customHeight="1">
      <c r="S9" s="10" t="n"/>
      <c r="T9" s="10" t="n"/>
      <c r="U9" s="10" t="n"/>
      <c r="V9" s="10" t="n"/>
      <c r="W9" s="10" t="n"/>
      <c r="X9" s="10" t="n"/>
      <c r="Y9" s="9" t="n"/>
      <c r="AC9" s="40" t="n"/>
      <c r="AD9" s="40" t="n"/>
      <c r="AE9" s="40" t="n"/>
      <c r="AF9" s="9" t="n"/>
      <c r="AK9" s="4" t="n"/>
      <c r="AL9" s="5" t="n"/>
      <c r="AM9" s="4" t="n"/>
      <c r="AN9" s="6" t="n"/>
      <c r="AO9" s="6" t="n"/>
      <c r="AP9" s="6" t="n"/>
      <c r="AQ9" s="7" t="n"/>
      <c r="AR9" s="6" t="n"/>
      <c r="AS9" s="6" t="n"/>
    </row>
    <row r="10" ht="10.5" customHeight="1">
      <c r="G10" s="40" t="n"/>
      <c r="H10" s="40" t="n"/>
      <c r="N10" s="40" t="n"/>
      <c r="P10" s="40" t="n"/>
      <c r="Q10" s="40" t="n"/>
      <c r="Y10" s="9" t="n"/>
      <c r="AC10" s="40" t="n"/>
      <c r="AD10" s="40" t="n"/>
      <c r="AE10" s="40" t="n"/>
      <c r="AF10" s="9" t="n"/>
      <c r="AK10" s="4" t="n"/>
      <c r="AL10" s="5" t="n"/>
      <c r="AM10" s="4" t="n"/>
      <c r="AN10" s="6" t="n"/>
      <c r="AO10" s="6" t="n"/>
      <c r="AP10" s="6" t="n"/>
      <c r="AQ10" s="7" t="n"/>
      <c r="AR10" s="6" t="n"/>
      <c r="AS10" s="6" t="n"/>
    </row>
    <row r="11" ht="10.5" customHeight="1">
      <c r="G11" s="40" t="n"/>
      <c r="H11" s="40" t="n"/>
      <c r="N11" s="40" t="n"/>
      <c r="P11" s="40" t="n"/>
      <c r="Q11" s="40" t="n"/>
      <c r="Y11" s="9" t="n"/>
      <c r="AC11" s="40" t="n"/>
      <c r="AD11" s="40" t="n"/>
      <c r="AE11" s="40" t="n"/>
      <c r="AF11" s="9" t="n"/>
      <c r="AK11" s="4" t="n"/>
      <c r="AL11" s="5" t="n"/>
      <c r="AM11" s="4" t="n"/>
      <c r="AN11" s="6" t="n"/>
      <c r="AO11" s="6" t="n"/>
      <c r="AP11" s="6" t="n"/>
      <c r="AQ11" s="7" t="n"/>
      <c r="AR11" s="6" t="n"/>
      <c r="AS11" s="6" t="n"/>
    </row>
    <row r="12" ht="10.5" customHeight="1">
      <c r="G12" s="40" t="n"/>
      <c r="H12" s="40" t="n"/>
      <c r="N12" s="40" t="n"/>
      <c r="P12" s="40" t="n"/>
      <c r="Q12" s="40" t="n"/>
      <c r="Y12" s="9" t="n"/>
      <c r="AC12" s="40" t="n"/>
      <c r="AD12" s="40" t="n"/>
      <c r="AE12" s="40" t="n"/>
      <c r="AF12" s="9" t="n"/>
      <c r="AK12" s="4" t="n"/>
      <c r="AL12" s="5" t="n"/>
      <c r="AM12" s="4" t="n"/>
      <c r="AN12" s="6" t="n"/>
      <c r="AO12" s="6" t="n"/>
      <c r="AP12" s="6" t="n"/>
      <c r="AQ12" s="7" t="n"/>
      <c r="AR12" s="6" t="n"/>
      <c r="AS12" s="6" t="n"/>
    </row>
    <row r="13" ht="10.5" customHeight="1">
      <c r="G13" s="40" t="n"/>
      <c r="H13" s="40" t="n"/>
      <c r="N13" s="40" t="n"/>
      <c r="P13" s="40" t="n"/>
      <c r="Q13" s="40" t="n"/>
      <c r="Y13" s="9" t="n"/>
      <c r="AC13" s="40" t="n"/>
      <c r="AD13" s="40" t="n"/>
      <c r="AE13" s="40" t="n"/>
      <c r="AF13" s="9" t="n"/>
      <c r="AK13" s="4" t="n"/>
      <c r="AL13" s="5" t="n"/>
      <c r="AM13" s="4" t="n"/>
      <c r="AN13" s="6" t="n"/>
      <c r="AO13" s="6" t="n"/>
      <c r="AP13" s="6" t="n"/>
      <c r="AQ13" s="7" t="n"/>
      <c r="AR13" s="6" t="n"/>
      <c r="AS13" s="6" t="n"/>
    </row>
    <row r="14" ht="12" customHeight="1">
      <c r="B14" s="11" t="inlineStr">
        <is>
          <t>BILL TO:</t>
        </is>
      </c>
      <c r="E14" s="12" t="inlineStr">
        <is>
          <t>SHIP TO:</t>
        </is>
      </c>
      <c r="I14" s="14" t="n"/>
      <c r="J14" s="14" t="n"/>
      <c r="K14" s="14" t="n"/>
      <c r="M14" s="15" t="inlineStr">
        <is>
          <t>Date</t>
        </is>
      </c>
      <c r="N14" s="25" t="n"/>
      <c r="P14" s="15" t="inlineStr">
        <is>
          <t>Mode of Transport</t>
        </is>
      </c>
      <c r="Q14" s="11" t="inlineStr">
        <is>
          <t>TOO_ROAD</t>
        </is>
      </c>
      <c r="Y14" s="9" t="n"/>
      <c r="AC14" s="40" t="n"/>
      <c r="AD14" s="40" t="n"/>
      <c r="AE14" s="40" t="n"/>
      <c r="AF14" s="9" t="n"/>
      <c r="AK14" s="4" t="n"/>
      <c r="AL14" s="5" t="n"/>
      <c r="AM14" s="4" t="n"/>
      <c r="AN14" s="6" t="n"/>
      <c r="AO14" s="6" t="n"/>
      <c r="AP14" s="6" t="n"/>
      <c r="AQ14" s="7" t="n"/>
      <c r="AR14" s="6" t="n"/>
      <c r="AS14" s="6" t="n"/>
    </row>
    <row r="15" ht="12.5" customHeight="1">
      <c r="B15" s="9" t="n"/>
      <c r="E15" s="17" t="n"/>
      <c r="I15" s="14" t="n"/>
      <c r="J15" s="14" t="n"/>
      <c r="K15" s="14" t="n"/>
      <c r="M15" s="15" t="inlineStr">
        <is>
          <t>TAX Invoice Number</t>
        </is>
      </c>
      <c r="N15" s="25" t="n"/>
      <c r="P15" s="15" t="inlineStr">
        <is>
          <t>Place of Loading</t>
        </is>
      </c>
      <c r="Q15" s="11" t="inlineStr">
        <is>
          <t>Dubai World Central</t>
        </is>
      </c>
      <c r="Y15" s="9" t="n"/>
      <c r="AC15" s="40" t="n"/>
      <c r="AD15" s="40" t="n"/>
      <c r="AE15" s="40" t="n"/>
      <c r="AF15" s="9" t="n"/>
      <c r="AK15" s="4" t="n"/>
      <c r="AL15" s="5" t="n"/>
      <c r="AM15" s="4" t="n"/>
      <c r="AN15" s="6" t="n"/>
      <c r="AO15" s="6" t="n"/>
      <c r="AP15" s="6" t="n"/>
      <c r="AQ15" s="7" t="n"/>
      <c r="AR15" s="6" t="n"/>
      <c r="AS15" s="6" t="n"/>
    </row>
    <row r="16" ht="12.5" customHeight="1">
      <c r="B16" s="9" t="n"/>
      <c r="E16" s="17" t="n"/>
      <c r="I16" s="18" t="n"/>
      <c r="J16" s="18" t="n"/>
      <c r="K16" s="18" t="n"/>
      <c r="M16" s="15" t="inlineStr">
        <is>
          <t>Total Number of Units/ PCS's</t>
        </is>
      </c>
      <c r="N16" s="19">
        <f>G186</f>
        <v/>
      </c>
      <c r="P16" s="15" t="inlineStr">
        <is>
          <t>Destination</t>
        </is>
      </c>
      <c r="Q16" s="11" t="inlineStr">
        <is>
          <t>Dubai World Central</t>
        </is>
      </c>
      <c r="Y16" s="9" t="n"/>
      <c r="AC16" s="40" t="n"/>
      <c r="AD16" s="40" t="n"/>
      <c r="AE16" s="40" t="n"/>
      <c r="AF16" s="9" t="n"/>
      <c r="AK16" s="4" t="n"/>
      <c r="AL16" s="5" t="n"/>
      <c r="AM16" s="4" t="n"/>
      <c r="AN16" s="6" t="n"/>
      <c r="AO16" s="6" t="n"/>
      <c r="AP16" s="6" t="n"/>
      <c r="AQ16" s="7" t="n"/>
      <c r="AR16" s="6" t="n"/>
      <c r="AS16" s="6" t="n"/>
    </row>
    <row r="17" ht="12.5" customHeight="1">
      <c r="B17" s="9" t="n"/>
      <c r="E17" s="17" t="n"/>
      <c r="I17" s="20" t="n"/>
      <c r="J17" s="20" t="n"/>
      <c r="K17" s="20" t="n"/>
      <c r="M17" s="15" t="inlineStr">
        <is>
          <t>Total Amount</t>
        </is>
      </c>
      <c r="N17" s="21">
        <f>L188</f>
        <v/>
      </c>
      <c r="P17" s="12" t="n"/>
      <c r="Q17" s="40" t="n"/>
      <c r="Y17" s="9" t="n"/>
      <c r="AC17" s="40" t="n"/>
      <c r="AD17" s="40" t="n"/>
      <c r="AE17" s="40" t="n"/>
      <c r="AF17" s="9" t="n"/>
      <c r="AK17" s="4" t="n"/>
      <c r="AL17" s="5" t="n"/>
      <c r="AM17" s="4" t="n"/>
      <c r="AN17" s="6" t="n"/>
      <c r="AO17" s="6" t="n"/>
      <c r="AP17" s="6" t="n"/>
      <c r="AQ17" s="7" t="n"/>
      <c r="AR17" s="6" t="n"/>
      <c r="AS17" s="6" t="n"/>
    </row>
    <row r="18" ht="10.5" customHeight="1">
      <c r="B18" s="9" t="n"/>
      <c r="E18" s="17" t="n"/>
      <c r="I18" s="22" t="n"/>
      <c r="J18" s="22" t="n"/>
      <c r="K18" s="22" t="n"/>
      <c r="M18" s="15" t="inlineStr">
        <is>
          <t>Currency Type</t>
        </is>
      </c>
      <c r="N18" s="25" t="n"/>
      <c r="P18" s="15" t="inlineStr">
        <is>
          <t>Num. of Pckg's</t>
        </is>
      </c>
      <c r="Q18" s="37" t="n">
        <v>21</v>
      </c>
      <c r="S18" s="33" t="n"/>
      <c r="T18" s="33" t="n"/>
      <c r="U18" s="33" t="n"/>
      <c r="V18" s="33" t="n"/>
      <c r="W18" s="33" t="n"/>
      <c r="X18" s="33" t="n"/>
      <c r="Y18" s="9" t="n"/>
      <c r="AC18" s="40" t="n"/>
      <c r="AD18" s="40" t="n"/>
      <c r="AE18" s="40" t="n"/>
      <c r="AF18" s="40" t="n"/>
      <c r="AK18" s="4" t="n"/>
      <c r="AL18" s="5" t="n"/>
      <c r="AM18" s="4" t="n"/>
      <c r="AN18" s="6" t="n"/>
      <c r="AO18" s="6" t="n"/>
      <c r="AP18" s="6" t="n"/>
      <c r="AQ18" s="7" t="n"/>
      <c r="AR18" s="6" t="n"/>
      <c r="AS18" s="6" t="n"/>
    </row>
    <row r="19" ht="10.5" customHeight="1">
      <c r="B19" s="9" t="n"/>
      <c r="E19" s="17" t="n"/>
      <c r="I19" s="22" t="n"/>
      <c r="J19" s="22" t="n"/>
      <c r="K19" s="22" t="n"/>
      <c r="M19" s="12" t="n"/>
      <c r="N19" s="25" t="n"/>
      <c r="O19" s="25" t="n"/>
      <c r="P19" s="15" t="inlineStr">
        <is>
          <t>Total Vol CBM</t>
        </is>
      </c>
      <c r="Q19" s="26" t="n">
        <v>13.99</v>
      </c>
      <c r="S19" s="30" t="n"/>
      <c r="T19" s="30" t="n"/>
      <c r="U19" s="30" t="n"/>
      <c r="V19" s="30" t="n"/>
      <c r="W19" s="30" t="n"/>
      <c r="X19" s="33" t="n"/>
      <c r="Y19" s="9" t="n"/>
      <c r="AC19" s="40" t="n"/>
      <c r="AD19" s="40" t="n"/>
      <c r="AE19" s="40" t="n"/>
      <c r="AF19" s="40" t="n"/>
      <c r="AK19" s="4" t="n"/>
      <c r="AL19" s="5" t="n"/>
      <c r="AM19" s="4" t="n"/>
      <c r="AN19" s="6" t="n"/>
      <c r="AO19" s="6" t="n"/>
      <c r="AP19" s="6" t="n"/>
      <c r="AQ19" s="20">
        <f>AQ20-AQ21</f>
        <v/>
      </c>
      <c r="AR19" s="6" t="n"/>
      <c r="AS19" s="6" t="n"/>
    </row>
    <row r="20" ht="10.5" customHeight="1">
      <c r="B20" s="9" t="n"/>
      <c r="E20" s="17" t="n"/>
      <c r="G20" s="12" t="n"/>
      <c r="H20" s="29" t="n"/>
      <c r="M20" s="29" t="n"/>
      <c r="N20" s="40" t="n"/>
      <c r="P20" s="15" t="inlineStr">
        <is>
          <t>Total Weight KG's</t>
        </is>
      </c>
      <c r="Q20" s="30" t="n">
        <v>691.1</v>
      </c>
      <c r="S20" s="30" t="n"/>
      <c r="T20" s="30" t="n"/>
      <c r="U20" s="30" t="n"/>
      <c r="V20" s="30" t="n"/>
      <c r="W20" s="30" t="n"/>
      <c r="X20" s="31" t="n"/>
      <c r="Y20" s="9" t="n"/>
      <c r="AC20" s="40" t="n"/>
      <c r="AD20" s="40" t="n"/>
      <c r="AE20" s="40" t="n"/>
      <c r="AF20" s="34">
        <f>SUBTOTAL(9,AF23:AF574)</f>
        <v/>
      </c>
      <c r="AG20" s="33" t="inlineStr">
        <is>
          <t>KG's</t>
        </is>
      </c>
      <c r="AK20" s="34" t="n"/>
      <c r="AL20" s="5" t="n"/>
      <c r="AM20" s="34" t="n"/>
      <c r="AN20" s="6" t="n"/>
      <c r="AO20" s="6" t="n"/>
      <c r="AP20" s="39" t="n"/>
      <c r="AQ20" s="20">
        <f>Q20</f>
        <v/>
      </c>
      <c r="AR20" s="6" t="n"/>
      <c r="AS20" s="6" t="n"/>
    </row>
    <row r="21" ht="10.5" customHeight="1">
      <c r="B21" s="11" t="n"/>
      <c r="G21" s="12" t="n"/>
      <c r="H21" s="12" t="n"/>
      <c r="I21" s="12" t="n"/>
      <c r="J21" s="12" t="n"/>
      <c r="K21" s="12" t="n"/>
      <c r="L21" s="12" t="n"/>
      <c r="M21" s="36" t="n">
        <v>3.693</v>
      </c>
      <c r="N21" s="12" t="n"/>
      <c r="X21" s="37" t="n"/>
      <c r="Y21" s="9" t="n"/>
      <c r="AC21" s="40" t="inlineStr">
        <is>
          <t>TAX</t>
        </is>
      </c>
      <c r="AD21" s="40" t="n"/>
      <c r="AE21" s="40" t="n"/>
      <c r="AK21" s="39" t="n"/>
      <c r="AN21" s="41" t="n"/>
      <c r="AO21" s="6" t="n"/>
      <c r="AP21" s="20" t="n"/>
      <c r="AQ21" s="20">
        <f>SUM(AQ23:AQ574)</f>
        <v/>
      </c>
      <c r="AR21" s="20" t="n"/>
      <c r="AS21" s="41" t="n"/>
    </row>
    <row r="22" ht="20.75" customFormat="1" customHeight="1" s="47">
      <c r="A22" s="42" t="inlineStr">
        <is>
          <t>x</t>
        </is>
      </c>
      <c r="B22" s="43" t="inlineStr">
        <is>
          <t>N</t>
        </is>
      </c>
      <c r="C22" s="43" t="inlineStr">
        <is>
          <t>BRAND</t>
        </is>
      </c>
      <c r="D22" s="44" t="inlineStr">
        <is>
          <t>PART NUMBER</t>
        </is>
      </c>
      <c r="E22" s="45" t="inlineStr">
        <is>
          <t>DESCRIPTION RU</t>
        </is>
      </c>
      <c r="F22" s="43" t="inlineStr">
        <is>
          <t>DESCRIPTION RU</t>
        </is>
      </c>
      <c r="G22" s="43" t="inlineStr">
        <is>
          <t>QTY</t>
        </is>
      </c>
      <c r="H22" s="43" t="inlineStr">
        <is>
          <t>UNIT WEIGHT</t>
        </is>
      </c>
      <c r="I22" s="43" t="inlineStr">
        <is>
          <t>UNIT S.PRICE</t>
        </is>
      </c>
      <c r="J22" s="43" t="inlineStr">
        <is>
          <t>UNIT B.PRICE</t>
        </is>
      </c>
      <c r="K22" s="43" t="inlineStr">
        <is>
          <t>AMT B</t>
        </is>
      </c>
      <c r="L22" s="43" t="inlineStr">
        <is>
          <t xml:space="preserve"> AMT AED </t>
        </is>
      </c>
      <c r="M22" s="43" t="n"/>
      <c r="N22" s="43" t="inlineStr">
        <is>
          <t>VAT RATE %</t>
        </is>
      </c>
      <c r="O22" s="43" t="inlineStr">
        <is>
          <t>VAT AMT</t>
        </is>
      </c>
      <c r="P22" s="43" t="inlineStr">
        <is>
          <t>COO</t>
        </is>
      </c>
      <c r="Q22" s="43" t="inlineStr">
        <is>
          <t>HS CODE</t>
        </is>
      </c>
      <c r="R22" s="46" t="inlineStr">
        <is>
          <t>INCOMING DECLARATION</t>
        </is>
      </c>
      <c r="S22" s="46" t="inlineStr">
        <is>
          <t>Код альфа 2</t>
        </is>
      </c>
      <c r="T22" s="46" t="inlineStr">
        <is>
          <t>Код альфа 3</t>
        </is>
      </c>
      <c r="U22" s="46" t="inlineStr">
        <is>
          <t>Код</t>
        </is>
      </c>
      <c r="V22" s="46" t="inlineStr">
        <is>
          <t>Наименование</t>
        </is>
      </c>
      <c r="W22" s="46" t="inlineStr">
        <is>
          <t>Наименование полное</t>
        </is>
      </c>
      <c r="X22" s="43" t="inlineStr">
        <is>
          <t>BOX Number</t>
        </is>
      </c>
      <c r="Y22" s="47" t="inlineStr">
        <is>
          <t>CLNT</t>
        </is>
      </c>
      <c r="Z22" s="47" t="inlineStr">
        <is>
          <t>CLNT NAME</t>
        </is>
      </c>
      <c r="AA22" s="47" t="inlineStr">
        <is>
          <t>COND</t>
        </is>
      </c>
      <c r="AB22" s="47" t="inlineStr">
        <is>
          <t>SHP T</t>
        </is>
      </c>
      <c r="AC22" s="48" t="inlineStr">
        <is>
          <t>INCOMING INVOICE</t>
        </is>
      </c>
      <c r="AD22" s="48" t="inlineStr">
        <is>
          <t>COMPANY FROM</t>
        </is>
      </c>
      <c r="AE22" s="48" t="inlineStr">
        <is>
          <t>SYSTEM INVOICE</t>
        </is>
      </c>
      <c r="AF22" s="48" t="inlineStr">
        <is>
          <t>TOTAL WEIGHT</t>
        </is>
      </c>
      <c r="AG22" s="48" t="inlineStr">
        <is>
          <t>DOC #</t>
        </is>
      </c>
      <c r="AH22" s="47" t="inlineStr">
        <is>
          <t>REMARKS</t>
        </is>
      </c>
      <c r="AI22" s="47" t="inlineStr">
        <is>
          <t>M IN</t>
        </is>
      </c>
      <c r="AJ22" s="47" t="inlineStr">
        <is>
          <t>Round</t>
        </is>
      </c>
      <c r="AK22" s="49" t="n"/>
      <c r="AL22" s="50" t="inlineStr">
        <is>
          <t>DOC</t>
        </is>
      </c>
      <c r="AM22" s="51" t="n"/>
      <c r="AN22" s="51" t="inlineStr">
        <is>
          <t>O W</t>
        </is>
      </c>
      <c r="AO22" s="51" t="inlineStr">
        <is>
          <t>D W</t>
        </is>
      </c>
      <c r="AP22" s="51" t="inlineStr">
        <is>
          <t>N U W</t>
        </is>
      </c>
      <c r="AQ22" s="50" t="inlineStr">
        <is>
          <t>T N W</t>
        </is>
      </c>
      <c r="AR22" s="51" t="n"/>
      <c r="AS22" s="51" t="n"/>
    </row>
    <row r="23" ht="10.25" customHeight="1">
      <c r="A23" s="9" t="n"/>
      <c r="B23" s="52" t="n"/>
      <c r="C23" s="52" t="n"/>
      <c r="D23" s="53" t="n"/>
      <c r="E23" s="52" t="n"/>
      <c r="F23" s="52" t="n"/>
      <c r="G23" s="54" t="n"/>
      <c r="H23" s="55" t="n"/>
      <c r="I23" s="56" t="n"/>
      <c r="J23" s="57" t="n"/>
      <c r="K23" s="58" t="n"/>
      <c r="L23" s="56" t="n"/>
      <c r="M23" s="59" t="n"/>
      <c r="N23" s="60" t="n"/>
      <c r="O23" s="60" t="n"/>
      <c r="P23" s="61" t="n"/>
      <c r="Q23" s="52" t="n"/>
      <c r="R23" s="52" t="n"/>
      <c r="S23" s="52" t="n"/>
      <c r="T23" s="52">
        <f>VLOOKUP(S23,'[1]COUNTRY LIST2'!$B$2:$G$254,2,0)</f>
        <v/>
      </c>
      <c r="U23" s="52">
        <f>VLOOKUP(S23,'[1]COUNTRY LIST2'!$B$2:$G$254,3,0)</f>
        <v/>
      </c>
      <c r="V23" s="52">
        <f>VLOOKUP(S23,'[1]COUNTRY LIST2'!$B$2:$G$254,6,0)</f>
        <v/>
      </c>
      <c r="W23" s="52">
        <f>VLOOKUP(S23,'[1]COUNTRY LIST2'!$B$2:$G$254,5,0)</f>
        <v/>
      </c>
      <c r="X23" s="52" t="n"/>
      <c r="Y23" s="62" t="n"/>
      <c r="Z23" s="63">
        <f>VLOOKUP(Y23,[1]OTH!A:B,2,0)</f>
        <v/>
      </c>
      <c r="AB23" s="63">
        <f>VLOOKUP(Y23,[1]OTH!$A$1:$C$22,3,0)</f>
        <v/>
      </c>
      <c r="AF23" s="64">
        <f>G23*H23</f>
        <v/>
      </c>
      <c r="AI23" s="65" t="n"/>
      <c r="AJ23" s="66">
        <f>ROUND(I23,2)</f>
        <v/>
      </c>
      <c r="AK23" s="40" t="inlineStr">
        <is>
          <t>x</t>
        </is>
      </c>
      <c r="AL23" s="67" t="n"/>
      <c r="AM23" s="40" t="inlineStr">
        <is>
          <t>x</t>
        </is>
      </c>
      <c r="AN23" s="13" t="n">
        <v>0</v>
      </c>
      <c r="AO23" s="13" t="n">
        <v>0</v>
      </c>
      <c r="AP23" s="13">
        <f>AN23+AO23</f>
        <v/>
      </c>
      <c r="AQ23" s="13">
        <f>AP23*G23</f>
        <v/>
      </c>
    </row>
    <row r="24" ht="10.25" customHeight="1">
      <c r="A24" s="9" t="n"/>
      <c r="B24" s="52" t="n"/>
      <c r="C24" s="52" t="n"/>
      <c r="D24" s="53" t="n"/>
      <c r="E24" s="52" t="n"/>
      <c r="F24" s="52" t="n"/>
      <c r="G24" s="54" t="n"/>
      <c r="H24" s="55" t="n"/>
      <c r="I24" s="56" t="n"/>
      <c r="J24" s="57" t="n"/>
      <c r="K24" s="58" t="n"/>
      <c r="L24" s="56" t="n"/>
      <c r="M24" s="59" t="n"/>
      <c r="N24" s="60" t="n"/>
      <c r="O24" s="60" t="n"/>
      <c r="P24" s="61" t="n"/>
      <c r="Q24" s="52" t="n"/>
      <c r="R24" s="52" t="n"/>
      <c r="S24" s="52" t="n"/>
      <c r="T24" s="52">
        <f>VLOOKUP(S24,'[1]COUNTRY LIST2'!$B$2:$G$254,2,0)</f>
        <v/>
      </c>
      <c r="U24" s="52">
        <f>VLOOKUP(S24,'[1]COUNTRY LIST2'!$B$2:$G$254,3,0)</f>
        <v/>
      </c>
      <c r="V24" s="52">
        <f>VLOOKUP(S24,'[1]COUNTRY LIST2'!$B$2:$G$254,6,0)</f>
        <v/>
      </c>
      <c r="W24" s="52">
        <f>VLOOKUP(S24,'[1]COUNTRY LIST2'!$B$2:$G$254,5,0)</f>
        <v/>
      </c>
      <c r="X24" s="52" t="n"/>
      <c r="Y24" s="62" t="n"/>
      <c r="Z24" s="63">
        <f>VLOOKUP(Y24,[1]OTH!A:B,2,0)</f>
        <v/>
      </c>
      <c r="AB24" s="63">
        <f>VLOOKUP(Y24,[1]OTH!$A$1:$C$22,3,0)</f>
        <v/>
      </c>
      <c r="AF24" s="64">
        <f>G24*H24</f>
        <v/>
      </c>
      <c r="AI24" s="65" t="n"/>
      <c r="AJ24" s="66">
        <f>ROUND(I24,2)</f>
        <v/>
      </c>
      <c r="AK24" s="40" t="inlineStr">
        <is>
          <t>x</t>
        </is>
      </c>
      <c r="AL24" s="67" t="n"/>
      <c r="AM24" s="40" t="inlineStr">
        <is>
          <t>x</t>
        </is>
      </c>
      <c r="AN24" s="13" t="n">
        <v>0</v>
      </c>
      <c r="AO24" s="13" t="n">
        <v>0</v>
      </c>
      <c r="AP24" s="13">
        <f>AN24+AO24</f>
        <v/>
      </c>
      <c r="AQ24" s="13">
        <f>AP24*G24</f>
        <v/>
      </c>
    </row>
    <row r="25" ht="10.25" customHeight="1">
      <c r="A25" s="9" t="n"/>
      <c r="B25" s="52" t="n"/>
      <c r="C25" s="52" t="n"/>
      <c r="D25" s="68" t="n"/>
      <c r="E25" s="52" t="n"/>
      <c r="F25" s="52" t="n"/>
      <c r="G25" s="54" t="n"/>
      <c r="H25" s="55" t="n"/>
      <c r="I25" s="56" t="n"/>
      <c r="J25" s="57" t="n"/>
      <c r="K25" s="58" t="n"/>
      <c r="L25" s="56" t="n"/>
      <c r="M25" s="59" t="n"/>
      <c r="N25" s="60" t="n"/>
      <c r="O25" s="60" t="n"/>
      <c r="P25" s="61" t="n"/>
      <c r="Q25" s="52" t="n"/>
      <c r="R25" s="52" t="n"/>
      <c r="S25" s="52" t="n"/>
      <c r="T25" s="52">
        <f>VLOOKUP(S25,'[1]COUNTRY LIST2'!$B$2:$G$254,2,0)</f>
        <v/>
      </c>
      <c r="U25" s="52">
        <f>VLOOKUP(S25,'[1]COUNTRY LIST2'!$B$2:$G$254,3,0)</f>
        <v/>
      </c>
      <c r="V25" s="52">
        <f>VLOOKUP(S25,'[1]COUNTRY LIST2'!$B$2:$G$254,6,0)</f>
        <v/>
      </c>
      <c r="W25" s="52">
        <f>VLOOKUP(S25,'[1]COUNTRY LIST2'!$B$2:$G$254,5,0)</f>
        <v/>
      </c>
      <c r="X25" s="52" t="n"/>
      <c r="Y25" s="62" t="n"/>
      <c r="Z25" s="63">
        <f>VLOOKUP(Y25,[1]OTH!A:B,2,0)</f>
        <v/>
      </c>
      <c r="AB25" s="63">
        <f>VLOOKUP(Y25,[1]OTH!$A$1:$C$22,3,0)</f>
        <v/>
      </c>
      <c r="AF25" s="64">
        <f>G25*H25</f>
        <v/>
      </c>
      <c r="AI25" s="65" t="n"/>
      <c r="AJ25" s="66">
        <f>ROUND(I25,2)</f>
        <v/>
      </c>
      <c r="AK25" s="40" t="inlineStr">
        <is>
          <t>x</t>
        </is>
      </c>
      <c r="AL25" s="67" t="n"/>
      <c r="AM25" s="40" t="inlineStr">
        <is>
          <t>x</t>
        </is>
      </c>
      <c r="AN25" s="13" t="n">
        <v>0</v>
      </c>
      <c r="AO25" s="13" t="n">
        <v>0</v>
      </c>
      <c r="AP25" s="13">
        <f>AN25+AO25</f>
        <v/>
      </c>
      <c r="AQ25" s="13">
        <f>AP25*G25</f>
        <v/>
      </c>
    </row>
    <row r="26" ht="10.25" customHeight="1">
      <c r="A26" s="9" t="n"/>
      <c r="B26" s="52" t="n"/>
      <c r="C26" s="52" t="n"/>
      <c r="D26" s="53" t="n"/>
      <c r="E26" s="52" t="n"/>
      <c r="F26" s="52" t="n"/>
      <c r="G26" s="54" t="n"/>
      <c r="H26" s="55" t="n"/>
      <c r="I26" s="56" t="n"/>
      <c r="J26" s="57" t="n"/>
      <c r="K26" s="58" t="n"/>
      <c r="L26" s="56" t="n"/>
      <c r="M26" s="59" t="n"/>
      <c r="N26" s="60" t="n"/>
      <c r="O26" s="60" t="n"/>
      <c r="P26" s="61" t="n"/>
      <c r="Q26" s="52" t="n"/>
      <c r="R26" s="52" t="n"/>
      <c r="S26" s="52" t="n"/>
      <c r="T26" s="52">
        <f>VLOOKUP(S26,'[1]COUNTRY LIST2'!$B$2:$G$254,2,0)</f>
        <v/>
      </c>
      <c r="U26" s="52">
        <f>VLOOKUP(S26,'[1]COUNTRY LIST2'!$B$2:$G$254,3,0)</f>
        <v/>
      </c>
      <c r="V26" s="52">
        <f>VLOOKUP(S26,'[1]COUNTRY LIST2'!$B$2:$G$254,6,0)</f>
        <v/>
      </c>
      <c r="W26" s="52">
        <f>VLOOKUP(S26,'[1]COUNTRY LIST2'!$B$2:$G$254,5,0)</f>
        <v/>
      </c>
      <c r="X26" s="52" t="n"/>
      <c r="Y26" s="62" t="n"/>
      <c r="Z26" s="63">
        <f>VLOOKUP(Y26,[1]OTH!A:B,2,0)</f>
        <v/>
      </c>
      <c r="AB26" s="63">
        <f>VLOOKUP(Y26,[1]OTH!$A$1:$C$22,3,0)</f>
        <v/>
      </c>
      <c r="AF26" s="64">
        <f>G26*H26</f>
        <v/>
      </c>
      <c r="AI26" s="65" t="n"/>
      <c r="AJ26" s="66">
        <f>ROUND(I26,2)</f>
        <v/>
      </c>
      <c r="AK26" s="40" t="inlineStr">
        <is>
          <t>x</t>
        </is>
      </c>
      <c r="AL26" s="67" t="n"/>
      <c r="AM26" s="40" t="inlineStr">
        <is>
          <t>x</t>
        </is>
      </c>
      <c r="AN26" s="13" t="n">
        <v>0</v>
      </c>
      <c r="AO26" s="13" t="n">
        <v>0</v>
      </c>
      <c r="AP26" s="13">
        <f>AN26+AO26</f>
        <v/>
      </c>
      <c r="AQ26" s="13">
        <f>AP26*G26</f>
        <v/>
      </c>
    </row>
    <row r="27" ht="10.25" customHeight="1">
      <c r="A27" s="9" t="n"/>
      <c r="B27" s="52" t="n"/>
      <c r="C27" s="52" t="n"/>
      <c r="D27" s="53" t="n"/>
      <c r="E27" s="52" t="n"/>
      <c r="F27" s="52" t="n"/>
      <c r="G27" s="54" t="n"/>
      <c r="H27" s="55" t="n"/>
      <c r="I27" s="56" t="n"/>
      <c r="J27" s="57" t="n"/>
      <c r="K27" s="58" t="n"/>
      <c r="L27" s="56" t="n"/>
      <c r="M27" s="59" t="n"/>
      <c r="N27" s="60" t="n"/>
      <c r="O27" s="60" t="n"/>
      <c r="P27" s="61" t="n"/>
      <c r="Q27" s="52" t="n"/>
      <c r="R27" s="52" t="n"/>
      <c r="S27" s="52" t="n"/>
      <c r="T27" s="52">
        <f>VLOOKUP(S27,'[1]COUNTRY LIST2'!$B$2:$G$254,2,0)</f>
        <v/>
      </c>
      <c r="U27" s="52">
        <f>VLOOKUP(S27,'[1]COUNTRY LIST2'!$B$2:$G$254,3,0)</f>
        <v/>
      </c>
      <c r="V27" s="52">
        <f>VLOOKUP(S27,'[1]COUNTRY LIST2'!$B$2:$G$254,6,0)</f>
        <v/>
      </c>
      <c r="W27" s="52">
        <f>VLOOKUP(S27,'[1]COUNTRY LIST2'!$B$2:$G$254,5,0)</f>
        <v/>
      </c>
      <c r="X27" s="52" t="n"/>
      <c r="Y27" s="62" t="n"/>
      <c r="Z27" s="63">
        <f>VLOOKUP(Y27,[1]OTH!A:B,2,0)</f>
        <v/>
      </c>
      <c r="AB27" s="63">
        <f>VLOOKUP(Y27,[1]OTH!$A$1:$C$22,3,0)</f>
        <v/>
      </c>
      <c r="AF27" s="64">
        <f>G27*H27</f>
        <v/>
      </c>
      <c r="AI27" s="65" t="n"/>
      <c r="AJ27" s="66">
        <f>ROUND(I27,2)</f>
        <v/>
      </c>
      <c r="AK27" s="40" t="inlineStr">
        <is>
          <t>x</t>
        </is>
      </c>
      <c r="AL27" s="67" t="n"/>
      <c r="AM27" s="40" t="inlineStr">
        <is>
          <t>x</t>
        </is>
      </c>
      <c r="AN27" s="13" t="n">
        <v>0</v>
      </c>
      <c r="AO27" s="13" t="n">
        <v>0</v>
      </c>
      <c r="AP27" s="13">
        <f>AN27+AO27</f>
        <v/>
      </c>
      <c r="AQ27" s="13">
        <f>AP27*G27</f>
        <v/>
      </c>
    </row>
    <row r="28" ht="10.25" customHeight="1">
      <c r="A28" s="9" t="n"/>
      <c r="B28" s="52" t="n"/>
      <c r="C28" s="52" t="n"/>
      <c r="D28" s="53" t="n"/>
      <c r="E28" s="52" t="n"/>
      <c r="F28" s="52" t="n"/>
      <c r="G28" s="54" t="n"/>
      <c r="H28" s="55" t="n"/>
      <c r="I28" s="56" t="n"/>
      <c r="J28" s="57" t="n"/>
      <c r="K28" s="58" t="n"/>
      <c r="L28" s="56" t="n"/>
      <c r="M28" s="59" t="n"/>
      <c r="N28" s="60" t="n"/>
      <c r="O28" s="60" t="n"/>
      <c r="P28" s="61" t="n"/>
      <c r="Q28" s="52" t="n"/>
      <c r="R28" s="52" t="n"/>
      <c r="S28" s="52" t="n"/>
      <c r="T28" s="52">
        <f>VLOOKUP(S28,'[1]COUNTRY LIST2'!$B$2:$G$254,2,0)</f>
        <v/>
      </c>
      <c r="U28" s="52">
        <f>VLOOKUP(S28,'[1]COUNTRY LIST2'!$B$2:$G$254,3,0)</f>
        <v/>
      </c>
      <c r="V28" s="52">
        <f>VLOOKUP(S28,'[1]COUNTRY LIST2'!$B$2:$G$254,6,0)</f>
        <v/>
      </c>
      <c r="W28" s="52">
        <f>VLOOKUP(S28,'[1]COUNTRY LIST2'!$B$2:$G$254,5,0)</f>
        <v/>
      </c>
      <c r="X28" s="52" t="n"/>
      <c r="Y28" s="62" t="n"/>
      <c r="Z28" s="63">
        <f>VLOOKUP(Y28,[1]OTH!A:B,2,0)</f>
        <v/>
      </c>
      <c r="AB28" s="63">
        <f>VLOOKUP(Y28,[1]OTH!$A$1:$C$22,3,0)</f>
        <v/>
      </c>
      <c r="AF28" s="64">
        <f>G28*H28</f>
        <v/>
      </c>
      <c r="AI28" s="65" t="n"/>
      <c r="AJ28" s="66">
        <f>ROUND(I28,2)</f>
        <v/>
      </c>
      <c r="AK28" s="40" t="inlineStr">
        <is>
          <t>x</t>
        </is>
      </c>
      <c r="AL28" s="67" t="n"/>
      <c r="AM28" s="40" t="inlineStr">
        <is>
          <t>x</t>
        </is>
      </c>
      <c r="AN28" s="13" t="n">
        <v>0</v>
      </c>
      <c r="AO28" s="13" t="n">
        <v>0</v>
      </c>
      <c r="AP28" s="13">
        <f>AN28+AO28</f>
        <v/>
      </c>
      <c r="AQ28" s="13">
        <f>AP28*G28</f>
        <v/>
      </c>
    </row>
    <row r="29" ht="10.25" customHeight="1">
      <c r="A29" s="9" t="n"/>
      <c r="B29" s="52" t="n"/>
      <c r="C29" s="52" t="n"/>
      <c r="D29" s="53" t="n"/>
      <c r="E29" s="52" t="n"/>
      <c r="F29" s="52" t="n"/>
      <c r="G29" s="54" t="n"/>
      <c r="H29" s="55" t="n"/>
      <c r="I29" s="56" t="n"/>
      <c r="J29" s="57" t="n"/>
      <c r="K29" s="58" t="n"/>
      <c r="L29" s="56" t="n"/>
      <c r="M29" s="59" t="n"/>
      <c r="N29" s="60" t="n"/>
      <c r="O29" s="60" t="n"/>
      <c r="P29" s="61" t="n"/>
      <c r="Q29" s="52" t="n"/>
      <c r="R29" s="52" t="n"/>
      <c r="S29" s="52" t="n"/>
      <c r="T29" s="52">
        <f>VLOOKUP(S29,'[1]COUNTRY LIST2'!$B$2:$G$254,2,0)</f>
        <v/>
      </c>
      <c r="U29" s="52">
        <f>VLOOKUP(S29,'[1]COUNTRY LIST2'!$B$2:$G$254,3,0)</f>
        <v/>
      </c>
      <c r="V29" s="52">
        <f>VLOOKUP(S29,'[1]COUNTRY LIST2'!$B$2:$G$254,6,0)</f>
        <v/>
      </c>
      <c r="W29" s="52">
        <f>VLOOKUP(S29,'[1]COUNTRY LIST2'!$B$2:$G$254,5,0)</f>
        <v/>
      </c>
      <c r="X29" s="52" t="n"/>
      <c r="Y29" s="62" t="n"/>
      <c r="Z29" s="63">
        <f>VLOOKUP(Y29,[1]OTH!A:B,2,0)</f>
        <v/>
      </c>
      <c r="AB29" s="63">
        <f>VLOOKUP(Y29,[1]OTH!$A$1:$C$22,3,0)</f>
        <v/>
      </c>
      <c r="AF29" s="64">
        <f>G29*H29</f>
        <v/>
      </c>
      <c r="AI29" s="65" t="n"/>
      <c r="AJ29" s="66">
        <f>ROUND(I29,2)</f>
        <v/>
      </c>
      <c r="AK29" s="40" t="inlineStr">
        <is>
          <t>x</t>
        </is>
      </c>
      <c r="AL29" s="67" t="n"/>
      <c r="AM29" s="40" t="inlineStr">
        <is>
          <t>x</t>
        </is>
      </c>
      <c r="AN29" s="13" t="n">
        <v>0</v>
      </c>
      <c r="AO29" s="13" t="n">
        <v>0</v>
      </c>
      <c r="AP29" s="13">
        <f>AN29+AO29</f>
        <v/>
      </c>
      <c r="AQ29" s="13">
        <f>AP29*G29</f>
        <v/>
      </c>
    </row>
    <row r="30" ht="10.25" customHeight="1">
      <c r="A30" s="9" t="n"/>
      <c r="B30" s="52" t="n"/>
      <c r="C30" s="52" t="n"/>
      <c r="D30" s="69" t="n"/>
      <c r="E30" s="52" t="n"/>
      <c r="F30" s="52" t="n"/>
      <c r="G30" s="54" t="n"/>
      <c r="H30" s="55" t="n"/>
      <c r="I30" s="56" t="n"/>
      <c r="J30" s="57" t="n"/>
      <c r="K30" s="58" t="n"/>
      <c r="L30" s="56" t="n"/>
      <c r="M30" s="59" t="n"/>
      <c r="N30" s="60" t="n"/>
      <c r="O30" s="60" t="n"/>
      <c r="P30" s="61" t="n"/>
      <c r="Q30" s="52" t="n"/>
      <c r="R30" s="52" t="n"/>
      <c r="S30" s="52" t="n"/>
      <c r="T30" s="52">
        <f>VLOOKUP(S30,'[1]COUNTRY LIST2'!$B$2:$G$254,2,0)</f>
        <v/>
      </c>
      <c r="U30" s="52">
        <f>VLOOKUP(S30,'[1]COUNTRY LIST2'!$B$2:$G$254,3,0)</f>
        <v/>
      </c>
      <c r="V30" s="52">
        <f>VLOOKUP(S30,'[1]COUNTRY LIST2'!$B$2:$G$254,6,0)</f>
        <v/>
      </c>
      <c r="W30" s="52">
        <f>VLOOKUP(S30,'[1]COUNTRY LIST2'!$B$2:$G$254,5,0)</f>
        <v/>
      </c>
      <c r="X30" s="52" t="n"/>
      <c r="Y30" s="62" t="n"/>
      <c r="Z30" s="63">
        <f>VLOOKUP(Y30,[1]OTH!A:B,2,0)</f>
        <v/>
      </c>
      <c r="AB30" s="63">
        <f>VLOOKUP(Y30,[1]OTH!$A$1:$C$22,3,0)</f>
        <v/>
      </c>
      <c r="AF30" s="64">
        <f>G30*H30</f>
        <v/>
      </c>
      <c r="AI30" s="65" t="n"/>
      <c r="AJ30" s="66">
        <f>ROUND(I30,2)</f>
        <v/>
      </c>
      <c r="AK30" s="40" t="inlineStr">
        <is>
          <t>x</t>
        </is>
      </c>
      <c r="AL30" s="67" t="n"/>
      <c r="AM30" s="40" t="inlineStr">
        <is>
          <t>x</t>
        </is>
      </c>
      <c r="AN30" s="13" t="n">
        <v>0</v>
      </c>
      <c r="AO30" s="13" t="n">
        <v>0</v>
      </c>
      <c r="AP30" s="13">
        <f>AN30+AO30</f>
        <v/>
      </c>
      <c r="AQ30" s="13">
        <f>AP30*G30</f>
        <v/>
      </c>
    </row>
    <row r="31" ht="10.25" customHeight="1">
      <c r="A31" s="9" t="n"/>
      <c r="B31" s="52" t="n"/>
      <c r="C31" s="52" t="n"/>
      <c r="D31" s="69" t="n"/>
      <c r="E31" s="52" t="n"/>
      <c r="F31" s="52" t="n"/>
      <c r="G31" s="54" t="n"/>
      <c r="H31" s="55" t="n"/>
      <c r="I31" s="56" t="n"/>
      <c r="J31" s="57" t="n"/>
      <c r="K31" s="58" t="n"/>
      <c r="L31" s="56" t="n"/>
      <c r="M31" s="59" t="n"/>
      <c r="N31" s="60" t="n"/>
      <c r="O31" s="60" t="n"/>
      <c r="P31" s="61" t="n"/>
      <c r="Q31" s="52" t="n"/>
      <c r="R31" s="52" t="n"/>
      <c r="S31" s="52" t="n"/>
      <c r="T31" s="52">
        <f>VLOOKUP(S31,'[1]COUNTRY LIST2'!$B$2:$G$254,2,0)</f>
        <v/>
      </c>
      <c r="U31" s="52">
        <f>VLOOKUP(S31,'[1]COUNTRY LIST2'!$B$2:$G$254,3,0)</f>
        <v/>
      </c>
      <c r="V31" s="52">
        <f>VLOOKUP(S31,'[1]COUNTRY LIST2'!$B$2:$G$254,6,0)</f>
        <v/>
      </c>
      <c r="W31" s="52">
        <f>VLOOKUP(S31,'[1]COUNTRY LIST2'!$B$2:$G$254,5,0)</f>
        <v/>
      </c>
      <c r="X31" s="52" t="n"/>
      <c r="Y31" s="62" t="n"/>
      <c r="Z31" s="63">
        <f>VLOOKUP(Y31,[1]OTH!A:B,2,0)</f>
        <v/>
      </c>
      <c r="AB31" s="63">
        <f>VLOOKUP(Y31,[1]OTH!$A$1:$C$22,3,0)</f>
        <v/>
      </c>
      <c r="AF31" s="64">
        <f>G31*H31</f>
        <v/>
      </c>
      <c r="AI31" s="65" t="n"/>
      <c r="AJ31" s="66">
        <f>ROUND(I31,2)</f>
        <v/>
      </c>
      <c r="AK31" s="40" t="inlineStr">
        <is>
          <t>x</t>
        </is>
      </c>
      <c r="AL31" s="67" t="n"/>
      <c r="AM31" s="40" t="inlineStr">
        <is>
          <t>x</t>
        </is>
      </c>
      <c r="AN31" s="13" t="n">
        <v>0</v>
      </c>
      <c r="AO31" s="13" t="n">
        <v>0</v>
      </c>
      <c r="AP31" s="13">
        <f>AN31+AO31</f>
        <v/>
      </c>
      <c r="AQ31" s="13">
        <f>AP31*G31</f>
        <v/>
      </c>
    </row>
    <row r="32" ht="10.25" customHeight="1">
      <c r="A32" s="9" t="n"/>
      <c r="B32" s="52" t="n"/>
      <c r="C32" s="52" t="n"/>
      <c r="D32" s="69" t="n"/>
      <c r="E32" s="52" t="n"/>
      <c r="F32" s="52" t="n"/>
      <c r="G32" s="54" t="n"/>
      <c r="H32" s="55" t="n"/>
      <c r="I32" s="56" t="n"/>
      <c r="J32" s="57" t="n"/>
      <c r="K32" s="58" t="n"/>
      <c r="L32" s="56" t="n"/>
      <c r="M32" s="59" t="n"/>
      <c r="N32" s="60" t="n"/>
      <c r="O32" s="60" t="n"/>
      <c r="P32" s="61" t="n"/>
      <c r="Q32" s="52" t="n"/>
      <c r="R32" s="52" t="n"/>
      <c r="S32" s="52" t="n"/>
      <c r="T32" s="52">
        <f>VLOOKUP(S32,'[1]COUNTRY LIST2'!$B$2:$G$254,2,0)</f>
        <v/>
      </c>
      <c r="U32" s="52">
        <f>VLOOKUP(S32,'[1]COUNTRY LIST2'!$B$2:$G$254,3,0)</f>
        <v/>
      </c>
      <c r="V32" s="52">
        <f>VLOOKUP(S32,'[1]COUNTRY LIST2'!$B$2:$G$254,6,0)</f>
        <v/>
      </c>
      <c r="W32" s="52">
        <f>VLOOKUP(S32,'[1]COUNTRY LIST2'!$B$2:$G$254,5,0)</f>
        <v/>
      </c>
      <c r="X32" s="52" t="n"/>
      <c r="Y32" s="62" t="n"/>
      <c r="Z32" s="63">
        <f>VLOOKUP(Y32,[1]OTH!A:B,2,0)</f>
        <v/>
      </c>
      <c r="AB32" s="63">
        <f>VLOOKUP(Y32,[1]OTH!$A$1:$C$22,3,0)</f>
        <v/>
      </c>
      <c r="AF32" s="64">
        <f>G32*H32</f>
        <v/>
      </c>
      <c r="AI32" s="65" t="n"/>
      <c r="AJ32" s="66">
        <f>ROUND(I32,2)</f>
        <v/>
      </c>
      <c r="AK32" s="40" t="inlineStr">
        <is>
          <t>x</t>
        </is>
      </c>
      <c r="AL32" s="67" t="n"/>
      <c r="AM32" s="40" t="inlineStr">
        <is>
          <t>x</t>
        </is>
      </c>
      <c r="AN32" s="13" t="n">
        <v>0</v>
      </c>
      <c r="AO32" s="13" t="n">
        <v>0</v>
      </c>
      <c r="AP32" s="13">
        <f>AN32+AO32</f>
        <v/>
      </c>
      <c r="AQ32" s="13">
        <f>AP32*G32</f>
        <v/>
      </c>
    </row>
    <row r="33" ht="10.25" customFormat="1" customHeight="1" s="9">
      <c r="B33" s="52" t="n"/>
      <c r="C33" s="52" t="n"/>
      <c r="D33" s="69" t="n"/>
      <c r="E33" s="52" t="n"/>
      <c r="F33" s="52" t="n"/>
      <c r="G33" s="54" t="n"/>
      <c r="H33" s="55" t="n"/>
      <c r="I33" s="56" t="n"/>
      <c r="J33" s="57" t="n"/>
      <c r="K33" s="58" t="n"/>
      <c r="L33" s="56" t="n"/>
      <c r="M33" s="59" t="n"/>
      <c r="N33" s="60" t="n"/>
      <c r="O33" s="60" t="n"/>
      <c r="P33" s="61" t="n"/>
      <c r="Q33" s="52" t="n"/>
      <c r="R33" s="52" t="n"/>
      <c r="S33" s="52" t="n"/>
      <c r="T33" s="52">
        <f>VLOOKUP(S33,'[1]COUNTRY LIST2'!$B$2:$G$254,2,0)</f>
        <v/>
      </c>
      <c r="U33" s="52">
        <f>VLOOKUP(S33,'[1]COUNTRY LIST2'!$B$2:$G$254,3,0)</f>
        <v/>
      </c>
      <c r="V33" s="52">
        <f>VLOOKUP(S33,'[1]COUNTRY LIST2'!$B$2:$G$254,6,0)</f>
        <v/>
      </c>
      <c r="W33" s="52">
        <f>VLOOKUP(S33,'[1]COUNTRY LIST2'!$B$2:$G$254,5,0)</f>
        <v/>
      </c>
      <c r="X33" s="52" t="n"/>
      <c r="Y33" s="62" t="n"/>
      <c r="Z33" s="63">
        <f>VLOOKUP(Y33,[1]OTH!A:B,2,0)</f>
        <v/>
      </c>
      <c r="AB33" s="63">
        <f>VLOOKUP(Y33,[1]OTH!$A$1:$C$22,3,0)</f>
        <v/>
      </c>
      <c r="AF33" s="64">
        <f>G33*H33</f>
        <v/>
      </c>
      <c r="AI33" s="65" t="n"/>
      <c r="AJ33" s="66">
        <f>ROUND(I33,2)</f>
        <v/>
      </c>
      <c r="AK33" s="40" t="inlineStr">
        <is>
          <t>x</t>
        </is>
      </c>
      <c r="AL33" s="67" t="n"/>
      <c r="AM33" s="40" t="inlineStr">
        <is>
          <t>x</t>
        </is>
      </c>
      <c r="AN33" s="13" t="n">
        <v>0</v>
      </c>
      <c r="AO33" s="13" t="n">
        <v>0</v>
      </c>
      <c r="AP33" s="13">
        <f>AN33+AO33</f>
        <v/>
      </c>
      <c r="AQ33" s="13">
        <f>AP33*G33</f>
        <v/>
      </c>
    </row>
    <row r="34" ht="10.25" customFormat="1" customHeight="1" s="9">
      <c r="B34" s="52" t="n"/>
      <c r="C34" s="52" t="n"/>
      <c r="D34" s="69" t="n"/>
      <c r="E34" s="52" t="n"/>
      <c r="F34" s="52" t="n"/>
      <c r="G34" s="54" t="n"/>
      <c r="H34" s="55" t="n"/>
      <c r="I34" s="56" t="n"/>
      <c r="J34" s="57" t="n"/>
      <c r="K34" s="58" t="n"/>
      <c r="L34" s="56" t="n"/>
      <c r="M34" s="59" t="n"/>
      <c r="N34" s="60" t="n"/>
      <c r="O34" s="60" t="n"/>
      <c r="P34" s="61" t="n"/>
      <c r="Q34" s="52" t="n"/>
      <c r="R34" s="52" t="n"/>
      <c r="S34" s="52" t="n"/>
      <c r="T34" s="52">
        <f>VLOOKUP(S34,'[1]COUNTRY LIST2'!$B$2:$G$254,2,0)</f>
        <v/>
      </c>
      <c r="U34" s="52">
        <f>VLOOKUP(S34,'[1]COUNTRY LIST2'!$B$2:$G$254,3,0)</f>
        <v/>
      </c>
      <c r="V34" s="52">
        <f>VLOOKUP(S34,'[1]COUNTRY LIST2'!$B$2:$G$254,6,0)</f>
        <v/>
      </c>
      <c r="W34" s="52">
        <f>VLOOKUP(S34,'[1]COUNTRY LIST2'!$B$2:$G$254,5,0)</f>
        <v/>
      </c>
      <c r="X34" s="52" t="n"/>
      <c r="Y34" s="62" t="n"/>
      <c r="Z34" s="63">
        <f>VLOOKUP(Y34,[1]OTH!A:B,2,0)</f>
        <v/>
      </c>
      <c r="AB34" s="63">
        <f>VLOOKUP(Y34,[1]OTH!$A$1:$C$22,3,0)</f>
        <v/>
      </c>
      <c r="AF34" s="64">
        <f>G34*H34</f>
        <v/>
      </c>
      <c r="AI34" s="65" t="n"/>
      <c r="AJ34" s="66">
        <f>ROUND(I34,2)</f>
        <v/>
      </c>
      <c r="AK34" s="40" t="inlineStr">
        <is>
          <t>x</t>
        </is>
      </c>
      <c r="AL34" s="67" t="n"/>
      <c r="AM34" s="40" t="inlineStr">
        <is>
          <t>x</t>
        </is>
      </c>
      <c r="AN34" s="13" t="n">
        <v>0</v>
      </c>
      <c r="AO34" s="13" t="n">
        <v>0</v>
      </c>
      <c r="AP34" s="13">
        <f>AN34+AO34</f>
        <v/>
      </c>
      <c r="AQ34" s="13">
        <f>AP34*G34</f>
        <v/>
      </c>
    </row>
    <row r="35" ht="10.25" customFormat="1" customHeight="1" s="9">
      <c r="B35" s="52" t="n"/>
      <c r="C35" s="52" t="n"/>
      <c r="D35" s="69" t="n"/>
      <c r="E35" s="52" t="n"/>
      <c r="F35" s="52" t="n"/>
      <c r="G35" s="54" t="n"/>
      <c r="H35" s="55" t="n"/>
      <c r="I35" s="56" t="n"/>
      <c r="J35" s="57" t="n"/>
      <c r="K35" s="58" t="n"/>
      <c r="L35" s="56" t="n"/>
      <c r="M35" s="59" t="n"/>
      <c r="N35" s="60" t="n"/>
      <c r="O35" s="60" t="n"/>
      <c r="P35" s="61" t="n"/>
      <c r="Q35" s="52" t="n"/>
      <c r="R35" s="52" t="n"/>
      <c r="S35" s="52" t="n"/>
      <c r="T35" s="52">
        <f>VLOOKUP(S35,'[1]COUNTRY LIST2'!$B$2:$G$254,2,0)</f>
        <v/>
      </c>
      <c r="U35" s="52">
        <f>VLOOKUP(S35,'[1]COUNTRY LIST2'!$B$2:$G$254,3,0)</f>
        <v/>
      </c>
      <c r="V35" s="52">
        <f>VLOOKUP(S35,'[1]COUNTRY LIST2'!$B$2:$G$254,6,0)</f>
        <v/>
      </c>
      <c r="W35" s="52">
        <f>VLOOKUP(S35,'[1]COUNTRY LIST2'!$B$2:$G$254,5,0)</f>
        <v/>
      </c>
      <c r="X35" s="52" t="n"/>
      <c r="Y35" s="62" t="n"/>
      <c r="Z35" s="63">
        <f>VLOOKUP(Y35,[1]OTH!A:B,2,0)</f>
        <v/>
      </c>
      <c r="AB35" s="63">
        <f>VLOOKUP(Y35,[1]OTH!$A$1:$C$22,3,0)</f>
        <v/>
      </c>
      <c r="AF35" s="64">
        <f>G35*H35</f>
        <v/>
      </c>
      <c r="AI35" s="65" t="n"/>
      <c r="AJ35" s="66">
        <f>ROUND(I35,2)</f>
        <v/>
      </c>
      <c r="AK35" s="40" t="inlineStr">
        <is>
          <t>x</t>
        </is>
      </c>
      <c r="AL35" s="67" t="n"/>
      <c r="AM35" s="40" t="inlineStr">
        <is>
          <t>x</t>
        </is>
      </c>
      <c r="AN35" s="13" t="n">
        <v>0</v>
      </c>
      <c r="AO35" s="13" t="n">
        <v>0</v>
      </c>
      <c r="AP35" s="13">
        <f>AN35+AO35</f>
        <v/>
      </c>
      <c r="AQ35" s="13">
        <f>AP35*G35</f>
        <v/>
      </c>
    </row>
    <row r="36" ht="10.25" customFormat="1" customHeight="1" s="9">
      <c r="B36" s="52" t="n"/>
      <c r="C36" s="52" t="n"/>
      <c r="D36" s="69" t="n"/>
      <c r="E36" s="52" t="n"/>
      <c r="F36" s="52" t="n"/>
      <c r="G36" s="54" t="n"/>
      <c r="H36" s="55" t="n"/>
      <c r="I36" s="56" t="n"/>
      <c r="J36" s="57" t="n"/>
      <c r="K36" s="58" t="n"/>
      <c r="L36" s="56" t="n"/>
      <c r="M36" s="59" t="n"/>
      <c r="N36" s="60" t="n"/>
      <c r="O36" s="60" t="n"/>
      <c r="P36" s="61" t="n"/>
      <c r="Q36" s="52" t="n"/>
      <c r="R36" s="52" t="n"/>
      <c r="S36" s="52" t="n"/>
      <c r="T36" s="52">
        <f>VLOOKUP(S36,'[1]COUNTRY LIST2'!$B$2:$G$254,2,0)</f>
        <v/>
      </c>
      <c r="U36" s="52">
        <f>VLOOKUP(S36,'[1]COUNTRY LIST2'!$B$2:$G$254,3,0)</f>
        <v/>
      </c>
      <c r="V36" s="52">
        <f>VLOOKUP(S36,'[1]COUNTRY LIST2'!$B$2:$G$254,6,0)</f>
        <v/>
      </c>
      <c r="W36" s="52">
        <f>VLOOKUP(S36,'[1]COUNTRY LIST2'!$B$2:$G$254,5,0)</f>
        <v/>
      </c>
      <c r="X36" s="52" t="n"/>
      <c r="Y36" s="62" t="n"/>
      <c r="Z36" s="63">
        <f>VLOOKUP(Y36,[1]OTH!A:B,2,0)</f>
        <v/>
      </c>
      <c r="AB36" s="63">
        <f>VLOOKUP(Y36,[1]OTH!$A$1:$C$22,3,0)</f>
        <v/>
      </c>
      <c r="AF36" s="64">
        <f>G36*H36</f>
        <v/>
      </c>
      <c r="AI36" s="65" t="n"/>
      <c r="AJ36" s="66">
        <f>ROUND(I36,2)</f>
        <v/>
      </c>
      <c r="AK36" s="40" t="inlineStr">
        <is>
          <t>x</t>
        </is>
      </c>
      <c r="AL36" s="67" t="n"/>
      <c r="AM36" s="40" t="inlineStr">
        <is>
          <t>x</t>
        </is>
      </c>
      <c r="AN36" s="13" t="n">
        <v>0</v>
      </c>
      <c r="AO36" s="13" t="n">
        <v>0</v>
      </c>
      <c r="AP36" s="13">
        <f>AN36+AO36</f>
        <v/>
      </c>
      <c r="AQ36" s="13">
        <f>AP36*G36</f>
        <v/>
      </c>
    </row>
    <row r="37" ht="10.25" customFormat="1" customHeight="1" s="9">
      <c r="B37" s="52" t="n"/>
      <c r="C37" s="52" t="n"/>
      <c r="D37" s="69" t="n"/>
      <c r="E37" s="52" t="n"/>
      <c r="F37" s="52" t="n"/>
      <c r="G37" s="54" t="n"/>
      <c r="H37" s="55" t="n"/>
      <c r="I37" s="56" t="n"/>
      <c r="J37" s="57" t="n"/>
      <c r="K37" s="58" t="n"/>
      <c r="L37" s="56" t="n"/>
      <c r="M37" s="59" t="n"/>
      <c r="N37" s="60" t="n"/>
      <c r="O37" s="60" t="n"/>
      <c r="P37" s="61" t="n"/>
      <c r="Q37" s="52" t="n"/>
      <c r="R37" s="52" t="n"/>
      <c r="S37" s="52" t="n"/>
      <c r="T37" s="52">
        <f>VLOOKUP(S37,'[1]COUNTRY LIST2'!$B$2:$G$254,2,0)</f>
        <v/>
      </c>
      <c r="U37" s="52">
        <f>VLOOKUP(S37,'[1]COUNTRY LIST2'!$B$2:$G$254,3,0)</f>
        <v/>
      </c>
      <c r="V37" s="52">
        <f>VLOOKUP(S37,'[1]COUNTRY LIST2'!$B$2:$G$254,6,0)</f>
        <v/>
      </c>
      <c r="W37" s="52">
        <f>VLOOKUP(S37,'[1]COUNTRY LIST2'!$B$2:$G$254,5,0)</f>
        <v/>
      </c>
      <c r="X37" s="52" t="n"/>
      <c r="Y37" s="62" t="n"/>
      <c r="Z37" s="63">
        <f>VLOOKUP(Y37,[1]OTH!A:B,2,0)</f>
        <v/>
      </c>
      <c r="AB37" s="63">
        <f>VLOOKUP(Y37,[1]OTH!$A$1:$C$22,3,0)</f>
        <v/>
      </c>
      <c r="AF37" s="64">
        <f>G37*H37</f>
        <v/>
      </c>
      <c r="AI37" s="65" t="n"/>
      <c r="AJ37" s="66">
        <f>ROUND(I37,2)</f>
        <v/>
      </c>
      <c r="AK37" s="40" t="inlineStr">
        <is>
          <t>x</t>
        </is>
      </c>
      <c r="AL37" s="67" t="n"/>
      <c r="AM37" s="40" t="inlineStr">
        <is>
          <t>x</t>
        </is>
      </c>
      <c r="AN37" s="13" t="n">
        <v>0</v>
      </c>
      <c r="AO37" s="13" t="n">
        <v>0</v>
      </c>
      <c r="AP37" s="13">
        <f>AN37+AO37</f>
        <v/>
      </c>
      <c r="AQ37" s="13">
        <f>AP37*G37</f>
        <v/>
      </c>
    </row>
    <row r="38" ht="10.25" customFormat="1" customHeight="1" s="9">
      <c r="B38" s="52" t="n"/>
      <c r="C38" s="52" t="n"/>
      <c r="D38" s="69" t="n"/>
      <c r="E38" s="52" t="n"/>
      <c r="F38" s="52" t="n"/>
      <c r="G38" s="54" t="n"/>
      <c r="H38" s="55" t="n"/>
      <c r="I38" s="56" t="n"/>
      <c r="J38" s="57" t="n"/>
      <c r="K38" s="58" t="n"/>
      <c r="L38" s="56" t="n"/>
      <c r="M38" s="59" t="n"/>
      <c r="N38" s="60" t="n"/>
      <c r="O38" s="60" t="n"/>
      <c r="P38" s="61" t="n"/>
      <c r="Q38" s="52" t="n"/>
      <c r="R38" s="52" t="n"/>
      <c r="S38" s="52" t="n"/>
      <c r="T38" s="52">
        <f>VLOOKUP(S38,'[1]COUNTRY LIST2'!$B$2:$G$254,2,0)</f>
        <v/>
      </c>
      <c r="U38" s="52">
        <f>VLOOKUP(S38,'[1]COUNTRY LIST2'!$B$2:$G$254,3,0)</f>
        <v/>
      </c>
      <c r="V38" s="52">
        <f>VLOOKUP(S38,'[1]COUNTRY LIST2'!$B$2:$G$254,6,0)</f>
        <v/>
      </c>
      <c r="W38" s="52">
        <f>VLOOKUP(S38,'[1]COUNTRY LIST2'!$B$2:$G$254,5,0)</f>
        <v/>
      </c>
      <c r="X38" s="52" t="n"/>
      <c r="Y38" s="62" t="n"/>
      <c r="Z38" s="63">
        <f>VLOOKUP(Y38,[1]OTH!A:B,2,0)</f>
        <v/>
      </c>
      <c r="AB38" s="63">
        <f>VLOOKUP(Y38,[1]OTH!$A$1:$C$22,3,0)</f>
        <v/>
      </c>
      <c r="AF38" s="64">
        <f>G38*H38</f>
        <v/>
      </c>
      <c r="AI38" s="65" t="n"/>
      <c r="AJ38" s="66">
        <f>ROUND(I38,2)</f>
        <v/>
      </c>
      <c r="AK38" s="40" t="inlineStr">
        <is>
          <t>x</t>
        </is>
      </c>
      <c r="AL38" s="67" t="n"/>
      <c r="AM38" s="40" t="inlineStr">
        <is>
          <t>x</t>
        </is>
      </c>
      <c r="AN38" s="13" t="n">
        <v>0</v>
      </c>
      <c r="AO38" s="13" t="n">
        <v>0</v>
      </c>
      <c r="AP38" s="13">
        <f>AN38+AO38</f>
        <v/>
      </c>
      <c r="AQ38" s="13">
        <f>AP38*G38</f>
        <v/>
      </c>
    </row>
    <row r="39" ht="10.25" customFormat="1" customHeight="1" s="9">
      <c r="B39" s="52" t="n"/>
      <c r="C39" s="52" t="n"/>
      <c r="D39" s="53" t="n"/>
      <c r="E39" s="52" t="n"/>
      <c r="F39" s="52" t="n"/>
      <c r="G39" s="54" t="n"/>
      <c r="H39" s="55" t="n"/>
      <c r="I39" s="56" t="n"/>
      <c r="J39" s="57" t="n"/>
      <c r="K39" s="58" t="n"/>
      <c r="L39" s="56" t="n"/>
      <c r="M39" s="59" t="n"/>
      <c r="N39" s="60" t="n"/>
      <c r="O39" s="60" t="n"/>
      <c r="P39" s="61" t="n"/>
      <c r="Q39" s="52" t="n"/>
      <c r="R39" s="52" t="n"/>
      <c r="S39" s="52" t="n"/>
      <c r="T39" s="52">
        <f>VLOOKUP(S39,'[1]COUNTRY LIST2'!$B$2:$G$254,2,0)</f>
        <v/>
      </c>
      <c r="U39" s="52">
        <f>VLOOKUP(S39,'[1]COUNTRY LIST2'!$B$2:$G$254,3,0)</f>
        <v/>
      </c>
      <c r="V39" s="52">
        <f>VLOOKUP(S39,'[1]COUNTRY LIST2'!$B$2:$G$254,6,0)</f>
        <v/>
      </c>
      <c r="W39" s="52">
        <f>VLOOKUP(S39,'[1]COUNTRY LIST2'!$B$2:$G$254,5,0)</f>
        <v/>
      </c>
      <c r="X39" s="52" t="n"/>
      <c r="Y39" s="62" t="n"/>
      <c r="Z39" s="63">
        <f>VLOOKUP(Y39,[1]OTH!A:B,2,0)</f>
        <v/>
      </c>
      <c r="AB39" s="63">
        <f>VLOOKUP(Y39,[1]OTH!$A$1:$C$22,3,0)</f>
        <v/>
      </c>
      <c r="AF39" s="64">
        <f>G39*H39</f>
        <v/>
      </c>
      <c r="AI39" s="65" t="n"/>
      <c r="AJ39" s="66">
        <f>ROUND(I39,2)</f>
        <v/>
      </c>
      <c r="AK39" s="40" t="inlineStr">
        <is>
          <t>x</t>
        </is>
      </c>
      <c r="AL39" s="67" t="n"/>
      <c r="AM39" s="40" t="inlineStr">
        <is>
          <t>x</t>
        </is>
      </c>
      <c r="AN39" s="13" t="n">
        <v>0</v>
      </c>
      <c r="AO39" s="13" t="n">
        <v>0</v>
      </c>
      <c r="AP39" s="13">
        <f>AN39+AO39</f>
        <v/>
      </c>
      <c r="AQ39" s="13">
        <f>AP39*G39</f>
        <v/>
      </c>
    </row>
    <row r="40" ht="10.25" customFormat="1" customHeight="1" s="9">
      <c r="B40" s="52" t="n"/>
      <c r="C40" s="52" t="n"/>
      <c r="D40" s="69" t="n"/>
      <c r="E40" s="52" t="n"/>
      <c r="F40" s="52" t="n"/>
      <c r="G40" s="54" t="n"/>
      <c r="H40" s="55" t="n"/>
      <c r="I40" s="56" t="n"/>
      <c r="J40" s="57" t="n"/>
      <c r="K40" s="58" t="n"/>
      <c r="L40" s="56" t="n"/>
      <c r="M40" s="59" t="n"/>
      <c r="N40" s="60" t="n"/>
      <c r="O40" s="60" t="n"/>
      <c r="P40" s="61" t="n"/>
      <c r="Q40" s="52" t="n"/>
      <c r="R40" s="52" t="n"/>
      <c r="S40" s="52" t="n"/>
      <c r="T40" s="52">
        <f>VLOOKUP(S40,'[1]COUNTRY LIST2'!$B$2:$G$254,2,0)</f>
        <v/>
      </c>
      <c r="U40" s="52">
        <f>VLOOKUP(S40,'[1]COUNTRY LIST2'!$B$2:$G$254,3,0)</f>
        <v/>
      </c>
      <c r="V40" s="52">
        <f>VLOOKUP(S40,'[1]COUNTRY LIST2'!$B$2:$G$254,6,0)</f>
        <v/>
      </c>
      <c r="W40" s="52">
        <f>VLOOKUP(S40,'[1]COUNTRY LIST2'!$B$2:$G$254,5,0)</f>
        <v/>
      </c>
      <c r="X40" s="52" t="n"/>
      <c r="Y40" s="62" t="n"/>
      <c r="Z40" s="63">
        <f>VLOOKUP(Y40,[1]OTH!A:B,2,0)</f>
        <v/>
      </c>
      <c r="AB40" s="63">
        <f>VLOOKUP(Y40,[1]OTH!$A$1:$C$22,3,0)</f>
        <v/>
      </c>
      <c r="AF40" s="64">
        <f>G40*H40</f>
        <v/>
      </c>
      <c r="AI40" s="65" t="n"/>
      <c r="AJ40" s="66">
        <f>ROUND(I40,2)</f>
        <v/>
      </c>
      <c r="AK40" s="40" t="inlineStr">
        <is>
          <t>x</t>
        </is>
      </c>
      <c r="AL40" s="67" t="n"/>
      <c r="AM40" s="40" t="inlineStr">
        <is>
          <t>x</t>
        </is>
      </c>
      <c r="AN40" s="13" t="n">
        <v>0</v>
      </c>
      <c r="AO40" s="13" t="n">
        <v>0</v>
      </c>
      <c r="AP40" s="13">
        <f>AN40+AO40</f>
        <v/>
      </c>
      <c r="AQ40" s="13">
        <f>AP40*G40</f>
        <v/>
      </c>
    </row>
    <row r="41" ht="10.25" customFormat="1" customHeight="1" s="9">
      <c r="B41" s="52" t="n"/>
      <c r="C41" s="52" t="n"/>
      <c r="D41" s="69" t="n"/>
      <c r="E41" s="52" t="n"/>
      <c r="F41" s="52" t="n"/>
      <c r="G41" s="54" t="n"/>
      <c r="H41" s="55" t="n"/>
      <c r="I41" s="56" t="n"/>
      <c r="J41" s="57" t="n"/>
      <c r="K41" s="58" t="n"/>
      <c r="L41" s="56" t="n"/>
      <c r="M41" s="59" t="n"/>
      <c r="N41" s="60" t="n"/>
      <c r="O41" s="60" t="n"/>
      <c r="P41" s="61" t="n"/>
      <c r="Q41" s="52" t="n"/>
      <c r="R41" s="52" t="n"/>
      <c r="S41" s="52" t="n"/>
      <c r="T41" s="52">
        <f>VLOOKUP(S41,'[1]COUNTRY LIST2'!$B$2:$G$254,2,0)</f>
        <v/>
      </c>
      <c r="U41" s="52">
        <f>VLOOKUP(S41,'[1]COUNTRY LIST2'!$B$2:$G$254,3,0)</f>
        <v/>
      </c>
      <c r="V41" s="52">
        <f>VLOOKUP(S41,'[1]COUNTRY LIST2'!$B$2:$G$254,6,0)</f>
        <v/>
      </c>
      <c r="W41" s="52">
        <f>VLOOKUP(S41,'[1]COUNTRY LIST2'!$B$2:$G$254,5,0)</f>
        <v/>
      </c>
      <c r="X41" s="52" t="n"/>
      <c r="Y41" s="62" t="n"/>
      <c r="Z41" s="63">
        <f>VLOOKUP(Y41,[1]OTH!A:B,2,0)</f>
        <v/>
      </c>
      <c r="AB41" s="63">
        <f>VLOOKUP(Y41,[1]OTH!$A$1:$C$22,3,0)</f>
        <v/>
      </c>
      <c r="AF41" s="64">
        <f>G41*H41</f>
        <v/>
      </c>
      <c r="AI41" s="65" t="n"/>
      <c r="AJ41" s="66">
        <f>ROUND(I41,2)</f>
        <v/>
      </c>
      <c r="AK41" s="40" t="inlineStr">
        <is>
          <t>x</t>
        </is>
      </c>
      <c r="AL41" s="67" t="n"/>
      <c r="AM41" s="40" t="inlineStr">
        <is>
          <t>x</t>
        </is>
      </c>
      <c r="AN41" s="13" t="n">
        <v>0</v>
      </c>
      <c r="AO41" s="13" t="n">
        <v>0</v>
      </c>
      <c r="AP41" s="13">
        <f>AN41+AO41</f>
        <v/>
      </c>
      <c r="AQ41" s="13">
        <f>AP41*G41</f>
        <v/>
      </c>
    </row>
    <row r="42" ht="10.25" customFormat="1" customHeight="1" s="9">
      <c r="B42" s="52" t="n"/>
      <c r="C42" s="52" t="n"/>
      <c r="D42" s="69" t="n"/>
      <c r="E42" s="52" t="n"/>
      <c r="F42" s="52" t="n"/>
      <c r="G42" s="54" t="n"/>
      <c r="H42" s="55" t="n"/>
      <c r="I42" s="56" t="n"/>
      <c r="J42" s="57" t="n"/>
      <c r="K42" s="58" t="n"/>
      <c r="L42" s="56" t="n"/>
      <c r="M42" s="59" t="n"/>
      <c r="N42" s="60" t="n"/>
      <c r="O42" s="60" t="n"/>
      <c r="P42" s="61" t="n"/>
      <c r="Q42" s="52" t="n"/>
      <c r="R42" s="52" t="n"/>
      <c r="S42" s="52" t="n"/>
      <c r="T42" s="52">
        <f>VLOOKUP(S42,'[1]COUNTRY LIST2'!$B$2:$G$254,2,0)</f>
        <v/>
      </c>
      <c r="U42" s="52">
        <f>VLOOKUP(S42,'[1]COUNTRY LIST2'!$B$2:$G$254,3,0)</f>
        <v/>
      </c>
      <c r="V42" s="52">
        <f>VLOOKUP(S42,'[1]COUNTRY LIST2'!$B$2:$G$254,6,0)</f>
        <v/>
      </c>
      <c r="W42" s="52">
        <f>VLOOKUP(S42,'[1]COUNTRY LIST2'!$B$2:$G$254,5,0)</f>
        <v/>
      </c>
      <c r="X42" s="52" t="n"/>
      <c r="Y42" s="62" t="n"/>
      <c r="Z42" s="63">
        <f>VLOOKUP(Y42,[1]OTH!A:B,2,0)</f>
        <v/>
      </c>
      <c r="AB42" s="63">
        <f>VLOOKUP(Y42,[1]OTH!$A$1:$C$22,3,0)</f>
        <v/>
      </c>
      <c r="AF42" s="64">
        <f>G42*H42</f>
        <v/>
      </c>
      <c r="AI42" s="65" t="n"/>
      <c r="AJ42" s="66">
        <f>ROUND(I42,2)</f>
        <v/>
      </c>
      <c r="AK42" s="40" t="inlineStr">
        <is>
          <t>x</t>
        </is>
      </c>
      <c r="AL42" s="67" t="n"/>
      <c r="AM42" s="40" t="inlineStr">
        <is>
          <t>x</t>
        </is>
      </c>
      <c r="AN42" s="13" t="n">
        <v>0</v>
      </c>
      <c r="AO42" s="13" t="n">
        <v>0</v>
      </c>
      <c r="AP42" s="13">
        <f>AN42+AO42</f>
        <v/>
      </c>
      <c r="AQ42" s="13">
        <f>AP42*G42</f>
        <v/>
      </c>
    </row>
    <row r="43" ht="10.25" customFormat="1" customHeight="1" s="9">
      <c r="B43" s="52" t="n"/>
      <c r="C43" s="52" t="n"/>
      <c r="D43" s="69" t="n"/>
      <c r="E43" s="52" t="n"/>
      <c r="F43" s="52" t="n"/>
      <c r="G43" s="54" t="n"/>
      <c r="H43" s="55" t="n"/>
      <c r="I43" s="56" t="n"/>
      <c r="J43" s="57" t="n"/>
      <c r="K43" s="58" t="n"/>
      <c r="L43" s="56" t="n"/>
      <c r="M43" s="59" t="n"/>
      <c r="N43" s="60" t="n"/>
      <c r="O43" s="60" t="n"/>
      <c r="P43" s="61" t="n"/>
      <c r="Q43" s="52" t="n"/>
      <c r="R43" s="52" t="n"/>
      <c r="S43" s="52" t="n"/>
      <c r="T43" s="52">
        <f>VLOOKUP(S43,'[1]COUNTRY LIST2'!$B$2:$G$254,2,0)</f>
        <v/>
      </c>
      <c r="U43" s="52">
        <f>VLOOKUP(S43,'[1]COUNTRY LIST2'!$B$2:$G$254,3,0)</f>
        <v/>
      </c>
      <c r="V43" s="52">
        <f>VLOOKUP(S43,'[1]COUNTRY LIST2'!$B$2:$G$254,6,0)</f>
        <v/>
      </c>
      <c r="W43" s="52">
        <f>VLOOKUP(S43,'[1]COUNTRY LIST2'!$B$2:$G$254,5,0)</f>
        <v/>
      </c>
      <c r="X43" s="52" t="n"/>
      <c r="Y43" s="62" t="n"/>
      <c r="Z43" s="63">
        <f>VLOOKUP(Y43,[1]OTH!A:B,2,0)</f>
        <v/>
      </c>
      <c r="AB43" s="63">
        <f>VLOOKUP(Y43,[1]OTH!$A$1:$C$22,3,0)</f>
        <v/>
      </c>
      <c r="AF43" s="64">
        <f>G43*H43</f>
        <v/>
      </c>
      <c r="AI43" s="65" t="n"/>
      <c r="AJ43" s="66">
        <f>ROUND(I43,2)</f>
        <v/>
      </c>
      <c r="AK43" s="40" t="inlineStr">
        <is>
          <t>x</t>
        </is>
      </c>
      <c r="AL43" s="67" t="n"/>
      <c r="AM43" s="40" t="inlineStr">
        <is>
          <t>x</t>
        </is>
      </c>
      <c r="AN43" s="13" t="n">
        <v>0</v>
      </c>
      <c r="AO43" s="13" t="n">
        <v>0</v>
      </c>
      <c r="AP43" s="13">
        <f>AN43+AO43</f>
        <v/>
      </c>
      <c r="AQ43" s="13">
        <f>AP43*G43</f>
        <v/>
      </c>
    </row>
    <row r="44" ht="10.25" customFormat="1" customHeight="1" s="9">
      <c r="B44" s="52" t="n"/>
      <c r="C44" s="52" t="n"/>
      <c r="D44" s="69" t="n"/>
      <c r="E44" s="52" t="n"/>
      <c r="F44" s="52" t="n"/>
      <c r="G44" s="54" t="n"/>
      <c r="H44" s="55" t="n"/>
      <c r="I44" s="56" t="n"/>
      <c r="J44" s="57" t="n"/>
      <c r="K44" s="58" t="n"/>
      <c r="L44" s="56" t="n"/>
      <c r="M44" s="59" t="n"/>
      <c r="N44" s="60" t="n"/>
      <c r="O44" s="60" t="n"/>
      <c r="P44" s="61" t="n"/>
      <c r="Q44" s="52" t="n"/>
      <c r="R44" s="52" t="n"/>
      <c r="S44" s="52" t="n"/>
      <c r="T44" s="52">
        <f>VLOOKUP(S44,'[1]COUNTRY LIST2'!$B$2:$G$254,2,0)</f>
        <v/>
      </c>
      <c r="U44" s="52">
        <f>VLOOKUP(S44,'[1]COUNTRY LIST2'!$B$2:$G$254,3,0)</f>
        <v/>
      </c>
      <c r="V44" s="52">
        <f>VLOOKUP(S44,'[1]COUNTRY LIST2'!$B$2:$G$254,6,0)</f>
        <v/>
      </c>
      <c r="W44" s="52">
        <f>VLOOKUP(S44,'[1]COUNTRY LIST2'!$B$2:$G$254,5,0)</f>
        <v/>
      </c>
      <c r="X44" s="52" t="n"/>
      <c r="Y44" s="62" t="n"/>
      <c r="Z44" s="63">
        <f>VLOOKUP(Y44,[1]OTH!A:B,2,0)</f>
        <v/>
      </c>
      <c r="AB44" s="63">
        <f>VLOOKUP(Y44,[1]OTH!$A$1:$C$22,3,0)</f>
        <v/>
      </c>
      <c r="AF44" s="64">
        <f>G44*H44</f>
        <v/>
      </c>
      <c r="AI44" s="65" t="n"/>
      <c r="AJ44" s="66">
        <f>ROUND(I44,2)</f>
        <v/>
      </c>
      <c r="AK44" s="40" t="inlineStr">
        <is>
          <t>x</t>
        </is>
      </c>
      <c r="AL44" s="67" t="n"/>
      <c r="AM44" s="40" t="inlineStr">
        <is>
          <t>x</t>
        </is>
      </c>
      <c r="AN44" s="13" t="n">
        <v>0</v>
      </c>
      <c r="AO44" s="13" t="n">
        <v>0</v>
      </c>
      <c r="AP44" s="13">
        <f>AN44+AO44</f>
        <v/>
      </c>
      <c r="AQ44" s="13">
        <f>AP44*G44</f>
        <v/>
      </c>
    </row>
    <row r="45" ht="10.25" customFormat="1" customHeight="1" s="9">
      <c r="B45" s="52" t="n"/>
      <c r="C45" s="52" t="n"/>
      <c r="D45" s="69" t="n"/>
      <c r="E45" s="52" t="n"/>
      <c r="F45" s="52" t="n"/>
      <c r="G45" s="54" t="n"/>
      <c r="H45" s="55" t="n"/>
      <c r="I45" s="56" t="n"/>
      <c r="J45" s="57" t="n"/>
      <c r="K45" s="58" t="n"/>
      <c r="L45" s="56" t="n"/>
      <c r="M45" s="59" t="n"/>
      <c r="N45" s="60" t="n"/>
      <c r="O45" s="60" t="n"/>
      <c r="P45" s="61" t="n"/>
      <c r="Q45" s="52" t="n"/>
      <c r="R45" s="52" t="n"/>
      <c r="S45" s="52" t="n"/>
      <c r="T45" s="52">
        <f>VLOOKUP(S45,'[1]COUNTRY LIST2'!$B$2:$G$254,2,0)</f>
        <v/>
      </c>
      <c r="U45" s="52">
        <f>VLOOKUP(S45,'[1]COUNTRY LIST2'!$B$2:$G$254,3,0)</f>
        <v/>
      </c>
      <c r="V45" s="52">
        <f>VLOOKUP(S45,'[1]COUNTRY LIST2'!$B$2:$G$254,6,0)</f>
        <v/>
      </c>
      <c r="W45" s="52">
        <f>VLOOKUP(S45,'[1]COUNTRY LIST2'!$B$2:$G$254,5,0)</f>
        <v/>
      </c>
      <c r="X45" s="52" t="n"/>
      <c r="Y45" s="62" t="n"/>
      <c r="Z45" s="63">
        <f>VLOOKUP(Y45,[1]OTH!A:B,2,0)</f>
        <v/>
      </c>
      <c r="AB45" s="63">
        <f>VLOOKUP(Y45,[1]OTH!$A$1:$C$22,3,0)</f>
        <v/>
      </c>
      <c r="AF45" s="64">
        <f>G45*H45</f>
        <v/>
      </c>
      <c r="AI45" s="65" t="n"/>
      <c r="AJ45" s="66">
        <f>ROUND(I45,2)</f>
        <v/>
      </c>
      <c r="AK45" s="40" t="inlineStr">
        <is>
          <t>x</t>
        </is>
      </c>
      <c r="AL45" s="67" t="n"/>
      <c r="AM45" s="40" t="inlineStr">
        <is>
          <t>x</t>
        </is>
      </c>
      <c r="AN45" s="13" t="n">
        <v>0</v>
      </c>
      <c r="AO45" s="13" t="n">
        <v>0</v>
      </c>
      <c r="AP45" s="13">
        <f>AN45+AO45</f>
        <v/>
      </c>
      <c r="AQ45" s="13">
        <f>AP45*G45</f>
        <v/>
      </c>
    </row>
    <row r="46" ht="10.25" customFormat="1" customHeight="1" s="9">
      <c r="B46" s="52" t="n"/>
      <c r="C46" s="52" t="n"/>
      <c r="D46" s="69" t="n"/>
      <c r="E46" s="52" t="n"/>
      <c r="F46" s="52" t="n"/>
      <c r="G46" s="54" t="n"/>
      <c r="H46" s="55" t="n"/>
      <c r="I46" s="56" t="n"/>
      <c r="J46" s="57" t="n"/>
      <c r="K46" s="58" t="n"/>
      <c r="L46" s="56" t="n"/>
      <c r="M46" s="59" t="n"/>
      <c r="N46" s="60" t="n"/>
      <c r="O46" s="60" t="n"/>
      <c r="P46" s="61" t="n"/>
      <c r="Q46" s="52" t="n"/>
      <c r="R46" s="52" t="n"/>
      <c r="S46" s="52" t="n"/>
      <c r="T46" s="52">
        <f>VLOOKUP(S46,'[1]COUNTRY LIST2'!$B$2:$G$254,2,0)</f>
        <v/>
      </c>
      <c r="U46" s="52">
        <f>VLOOKUP(S46,'[1]COUNTRY LIST2'!$B$2:$G$254,3,0)</f>
        <v/>
      </c>
      <c r="V46" s="52">
        <f>VLOOKUP(S46,'[1]COUNTRY LIST2'!$B$2:$G$254,6,0)</f>
        <v/>
      </c>
      <c r="W46" s="52">
        <f>VLOOKUP(S46,'[1]COUNTRY LIST2'!$B$2:$G$254,5,0)</f>
        <v/>
      </c>
      <c r="X46" s="52" t="n"/>
      <c r="Y46" s="62" t="n"/>
      <c r="Z46" s="63">
        <f>VLOOKUP(Y46,[1]OTH!A:B,2,0)</f>
        <v/>
      </c>
      <c r="AB46" s="63">
        <f>VLOOKUP(Y46,[1]OTH!$A$1:$C$22,3,0)</f>
        <v/>
      </c>
      <c r="AF46" s="64">
        <f>G46*H46</f>
        <v/>
      </c>
      <c r="AI46" s="65" t="n"/>
      <c r="AJ46" s="66">
        <f>ROUND(I46,2)</f>
        <v/>
      </c>
      <c r="AK46" s="40" t="inlineStr">
        <is>
          <t>x</t>
        </is>
      </c>
      <c r="AL46" s="67" t="n"/>
      <c r="AM46" s="40" t="inlineStr">
        <is>
          <t>x</t>
        </is>
      </c>
      <c r="AN46" s="13" t="n">
        <v>0</v>
      </c>
      <c r="AO46" s="13" t="n">
        <v>0</v>
      </c>
      <c r="AP46" s="13">
        <f>AN46+AO46</f>
        <v/>
      </c>
      <c r="AQ46" s="13">
        <f>AP46*G46</f>
        <v/>
      </c>
    </row>
    <row r="47" ht="10.25" customFormat="1" customHeight="1" s="9">
      <c r="B47" s="52" t="n"/>
      <c r="C47" s="52" t="n"/>
      <c r="D47" s="69" t="n"/>
      <c r="E47" s="52" t="n"/>
      <c r="F47" s="52" t="n"/>
      <c r="G47" s="54" t="n"/>
      <c r="H47" s="55" t="n"/>
      <c r="I47" s="56" t="n"/>
      <c r="J47" s="57" t="n"/>
      <c r="K47" s="58" t="n"/>
      <c r="L47" s="56" t="n"/>
      <c r="M47" s="59" t="n"/>
      <c r="N47" s="60" t="n"/>
      <c r="O47" s="60" t="n"/>
      <c r="P47" s="61" t="n"/>
      <c r="Q47" s="52" t="n"/>
      <c r="R47" s="52" t="n"/>
      <c r="S47" s="52" t="n"/>
      <c r="T47" s="52">
        <f>VLOOKUP(S47,'[1]COUNTRY LIST2'!$B$2:$G$254,2,0)</f>
        <v/>
      </c>
      <c r="U47" s="52">
        <f>VLOOKUP(S47,'[1]COUNTRY LIST2'!$B$2:$G$254,3,0)</f>
        <v/>
      </c>
      <c r="V47" s="52">
        <f>VLOOKUP(S47,'[1]COUNTRY LIST2'!$B$2:$G$254,6,0)</f>
        <v/>
      </c>
      <c r="W47" s="52">
        <f>VLOOKUP(S47,'[1]COUNTRY LIST2'!$B$2:$G$254,5,0)</f>
        <v/>
      </c>
      <c r="X47" s="52" t="n"/>
      <c r="Y47" s="62" t="n"/>
      <c r="Z47" s="63">
        <f>VLOOKUP(Y47,[1]OTH!A:B,2,0)</f>
        <v/>
      </c>
      <c r="AB47" s="63">
        <f>VLOOKUP(Y47,[1]OTH!$A$1:$C$22,3,0)</f>
        <v/>
      </c>
      <c r="AF47" s="64">
        <f>G47*H47</f>
        <v/>
      </c>
      <c r="AI47" s="65" t="n"/>
      <c r="AJ47" s="66">
        <f>ROUND(I47,2)</f>
        <v/>
      </c>
      <c r="AK47" s="40" t="inlineStr">
        <is>
          <t>x</t>
        </is>
      </c>
      <c r="AL47" s="67" t="n"/>
      <c r="AM47" s="40" t="inlineStr">
        <is>
          <t>x</t>
        </is>
      </c>
      <c r="AN47" s="13" t="n">
        <v>0</v>
      </c>
      <c r="AO47" s="13" t="n">
        <v>0</v>
      </c>
      <c r="AP47" s="13">
        <f>AN47+AO47</f>
        <v/>
      </c>
      <c r="AQ47" s="13">
        <f>AP47*G47</f>
        <v/>
      </c>
    </row>
    <row r="48" ht="10.25" customFormat="1" customHeight="1" s="9">
      <c r="B48" s="52" t="n"/>
      <c r="C48" s="52" t="n"/>
      <c r="D48" s="52" t="n"/>
      <c r="E48" s="52" t="n"/>
      <c r="F48" s="52" t="n"/>
      <c r="G48" s="54" t="n"/>
      <c r="H48" s="55" t="n"/>
      <c r="I48" s="56" t="n"/>
      <c r="J48" s="57" t="n"/>
      <c r="K48" s="58" t="n"/>
      <c r="L48" s="56" t="n"/>
      <c r="M48" s="59" t="n"/>
      <c r="N48" s="60" t="n"/>
      <c r="O48" s="60" t="n"/>
      <c r="P48" s="61" t="n"/>
      <c r="Q48" s="52" t="n"/>
      <c r="R48" s="52" t="n"/>
      <c r="S48" s="52" t="n"/>
      <c r="T48" s="52">
        <f>VLOOKUP(S48,'[1]COUNTRY LIST2'!$B$2:$G$254,2,0)</f>
        <v/>
      </c>
      <c r="U48" s="52">
        <f>VLOOKUP(S48,'[1]COUNTRY LIST2'!$B$2:$G$254,3,0)</f>
        <v/>
      </c>
      <c r="V48" s="52">
        <f>VLOOKUP(S48,'[1]COUNTRY LIST2'!$B$2:$G$254,6,0)</f>
        <v/>
      </c>
      <c r="W48" s="52">
        <f>VLOOKUP(S48,'[1]COUNTRY LIST2'!$B$2:$G$254,5,0)</f>
        <v/>
      </c>
      <c r="X48" s="52" t="n"/>
      <c r="Y48" s="62" t="n"/>
      <c r="Z48" s="63">
        <f>VLOOKUP(Y48,[1]OTH!A:B,2,0)</f>
        <v/>
      </c>
      <c r="AB48" s="63">
        <f>VLOOKUP(Y48,[1]OTH!$A$1:$C$22,3,0)</f>
        <v/>
      </c>
      <c r="AF48" s="64">
        <f>G48*H48</f>
        <v/>
      </c>
      <c r="AI48" s="65" t="n"/>
      <c r="AJ48" s="66">
        <f>ROUND(I48,2)</f>
        <v/>
      </c>
      <c r="AK48" s="40" t="inlineStr">
        <is>
          <t>x</t>
        </is>
      </c>
      <c r="AL48" s="67" t="n"/>
      <c r="AM48" s="40" t="inlineStr">
        <is>
          <t>x</t>
        </is>
      </c>
      <c r="AN48" s="13" t="n">
        <v>0</v>
      </c>
      <c r="AO48" s="13" t="n">
        <v>0</v>
      </c>
      <c r="AP48" s="13">
        <f>AN48+AO48</f>
        <v/>
      </c>
      <c r="AQ48" s="13">
        <f>AP48*G48</f>
        <v/>
      </c>
    </row>
    <row r="49" ht="10.25" customFormat="1" customHeight="1" s="9">
      <c r="B49" s="52" t="n"/>
      <c r="C49" s="52" t="n"/>
      <c r="D49" s="69" t="n"/>
      <c r="E49" s="52" t="n"/>
      <c r="F49" s="52" t="n"/>
      <c r="G49" s="54" t="n"/>
      <c r="H49" s="55" t="n"/>
      <c r="I49" s="56" t="n"/>
      <c r="J49" s="57" t="n"/>
      <c r="K49" s="58" t="n"/>
      <c r="L49" s="56" t="n"/>
      <c r="M49" s="59" t="n"/>
      <c r="N49" s="60" t="n"/>
      <c r="O49" s="60" t="n"/>
      <c r="P49" s="61" t="n"/>
      <c r="Q49" s="52" t="n"/>
      <c r="R49" s="52" t="n"/>
      <c r="S49" s="52" t="n"/>
      <c r="T49" s="52">
        <f>VLOOKUP(S49,'[1]COUNTRY LIST2'!$B$2:$G$254,2,0)</f>
        <v/>
      </c>
      <c r="U49" s="52">
        <f>VLOOKUP(S49,'[1]COUNTRY LIST2'!$B$2:$G$254,3,0)</f>
        <v/>
      </c>
      <c r="V49" s="52">
        <f>VLOOKUP(S49,'[1]COUNTRY LIST2'!$B$2:$G$254,6,0)</f>
        <v/>
      </c>
      <c r="W49" s="52">
        <f>VLOOKUP(S49,'[1]COUNTRY LIST2'!$B$2:$G$254,5,0)</f>
        <v/>
      </c>
      <c r="X49" s="52" t="n"/>
      <c r="Y49" s="62" t="n"/>
      <c r="Z49" s="63">
        <f>VLOOKUP(Y49,[1]OTH!A:B,2,0)</f>
        <v/>
      </c>
      <c r="AB49" s="63">
        <f>VLOOKUP(Y49,[1]OTH!$A$1:$C$22,3,0)</f>
        <v/>
      </c>
      <c r="AF49" s="64">
        <f>G49*H49</f>
        <v/>
      </c>
      <c r="AI49" s="65" t="n"/>
      <c r="AJ49" s="66">
        <f>ROUND(I49,2)</f>
        <v/>
      </c>
      <c r="AK49" s="40" t="inlineStr">
        <is>
          <t>x</t>
        </is>
      </c>
      <c r="AL49" s="67" t="n"/>
      <c r="AM49" s="40" t="inlineStr">
        <is>
          <t>x</t>
        </is>
      </c>
      <c r="AN49" s="13" t="n">
        <v>0</v>
      </c>
      <c r="AO49" s="13" t="n">
        <v>0</v>
      </c>
      <c r="AP49" s="13">
        <f>AN49+AO49</f>
        <v/>
      </c>
      <c r="AQ49" s="13">
        <f>AP49*G49</f>
        <v/>
      </c>
    </row>
    <row r="50" ht="10.25" customFormat="1" customHeight="1" s="9">
      <c r="B50" s="52" t="n"/>
      <c r="C50" s="52" t="n"/>
      <c r="D50" s="69" t="n"/>
      <c r="E50" s="52" t="n"/>
      <c r="F50" s="52" t="n"/>
      <c r="G50" s="54" t="n"/>
      <c r="H50" s="55" t="n"/>
      <c r="I50" s="56" t="n"/>
      <c r="J50" s="57" t="n"/>
      <c r="K50" s="58" t="n"/>
      <c r="L50" s="56" t="n"/>
      <c r="M50" s="59" t="n"/>
      <c r="N50" s="60" t="n"/>
      <c r="O50" s="60" t="n"/>
      <c r="P50" s="61" t="n"/>
      <c r="Q50" s="52" t="n"/>
      <c r="R50" s="52" t="n"/>
      <c r="S50" s="52" t="n"/>
      <c r="T50" s="52">
        <f>VLOOKUP(S50,'[1]COUNTRY LIST2'!$B$2:$G$254,2,0)</f>
        <v/>
      </c>
      <c r="U50" s="52">
        <f>VLOOKUP(S50,'[1]COUNTRY LIST2'!$B$2:$G$254,3,0)</f>
        <v/>
      </c>
      <c r="V50" s="52">
        <f>VLOOKUP(S50,'[1]COUNTRY LIST2'!$B$2:$G$254,6,0)</f>
        <v/>
      </c>
      <c r="W50" s="52">
        <f>VLOOKUP(S50,'[1]COUNTRY LIST2'!$B$2:$G$254,5,0)</f>
        <v/>
      </c>
      <c r="X50" s="52" t="n"/>
      <c r="Y50" s="62" t="n"/>
      <c r="Z50" s="63">
        <f>VLOOKUP(Y50,[1]OTH!A:B,2,0)</f>
        <v/>
      </c>
      <c r="AB50" s="63">
        <f>VLOOKUP(Y50,[1]OTH!$A$1:$C$22,3,0)</f>
        <v/>
      </c>
      <c r="AF50" s="64">
        <f>G50*H50</f>
        <v/>
      </c>
      <c r="AI50" s="65" t="n"/>
      <c r="AJ50" s="66">
        <f>ROUND(I50,2)</f>
        <v/>
      </c>
      <c r="AK50" s="40" t="inlineStr">
        <is>
          <t>x</t>
        </is>
      </c>
      <c r="AL50" s="67" t="n"/>
      <c r="AM50" s="40" t="inlineStr">
        <is>
          <t>x</t>
        </is>
      </c>
      <c r="AN50" s="13" t="n">
        <v>0</v>
      </c>
      <c r="AO50" s="13" t="n">
        <v>0</v>
      </c>
      <c r="AP50" s="13">
        <f>AN50+AO50</f>
        <v/>
      </c>
      <c r="AQ50" s="13">
        <f>AP50*G50</f>
        <v/>
      </c>
    </row>
    <row r="51" ht="10.25" customFormat="1" customHeight="1" s="9">
      <c r="B51" s="52" t="n"/>
      <c r="C51" s="52" t="n"/>
      <c r="D51" s="69" t="n"/>
      <c r="E51" s="52" t="n"/>
      <c r="F51" s="52" t="n"/>
      <c r="G51" s="54" t="n"/>
      <c r="H51" s="55" t="n"/>
      <c r="I51" s="56" t="n"/>
      <c r="J51" s="57" t="n"/>
      <c r="K51" s="58" t="n"/>
      <c r="L51" s="56" t="n"/>
      <c r="M51" s="59" t="n"/>
      <c r="N51" s="60" t="n"/>
      <c r="O51" s="60" t="n"/>
      <c r="P51" s="61" t="n"/>
      <c r="Q51" s="52" t="n"/>
      <c r="R51" s="52" t="n"/>
      <c r="S51" s="52" t="n"/>
      <c r="T51" s="52">
        <f>VLOOKUP(S51,'[1]COUNTRY LIST2'!$B$2:$G$254,2,0)</f>
        <v/>
      </c>
      <c r="U51" s="52">
        <f>VLOOKUP(S51,'[1]COUNTRY LIST2'!$B$2:$G$254,3,0)</f>
        <v/>
      </c>
      <c r="V51" s="52">
        <f>VLOOKUP(S51,'[1]COUNTRY LIST2'!$B$2:$G$254,6,0)</f>
        <v/>
      </c>
      <c r="W51" s="52">
        <f>VLOOKUP(S51,'[1]COUNTRY LIST2'!$B$2:$G$254,5,0)</f>
        <v/>
      </c>
      <c r="X51" s="52" t="n"/>
      <c r="Y51" s="62" t="n"/>
      <c r="Z51" s="63">
        <f>VLOOKUP(Y51,[1]OTH!A:B,2,0)</f>
        <v/>
      </c>
      <c r="AB51" s="63">
        <f>VLOOKUP(Y51,[1]OTH!$A$1:$C$22,3,0)</f>
        <v/>
      </c>
      <c r="AF51" s="64">
        <f>G51*H51</f>
        <v/>
      </c>
      <c r="AI51" s="65" t="n"/>
      <c r="AJ51" s="66">
        <f>ROUND(I51,2)</f>
        <v/>
      </c>
      <c r="AK51" s="40" t="inlineStr">
        <is>
          <t>x</t>
        </is>
      </c>
      <c r="AL51" s="67" t="n"/>
      <c r="AM51" s="40" t="inlineStr">
        <is>
          <t>x</t>
        </is>
      </c>
      <c r="AN51" s="13" t="n">
        <v>0</v>
      </c>
      <c r="AO51" s="13" t="n">
        <v>0</v>
      </c>
      <c r="AP51" s="13">
        <f>AN51+AO51</f>
        <v/>
      </c>
      <c r="AQ51" s="13">
        <f>AP51*G51</f>
        <v/>
      </c>
    </row>
    <row r="52" ht="10.25" customFormat="1" customHeight="1" s="9">
      <c r="B52" s="52" t="n"/>
      <c r="C52" s="52" t="n"/>
      <c r="D52" s="69" t="n"/>
      <c r="E52" s="52" t="n"/>
      <c r="F52" s="52" t="n"/>
      <c r="G52" s="54" t="n"/>
      <c r="H52" s="55" t="n"/>
      <c r="I52" s="56" t="n"/>
      <c r="J52" s="57" t="n"/>
      <c r="K52" s="58" t="n"/>
      <c r="L52" s="56" t="n"/>
      <c r="M52" s="59" t="n"/>
      <c r="N52" s="60" t="n"/>
      <c r="O52" s="60" t="n"/>
      <c r="P52" s="61" t="n"/>
      <c r="Q52" s="52" t="n"/>
      <c r="R52" s="52" t="n"/>
      <c r="S52" s="52" t="n"/>
      <c r="T52" s="52">
        <f>VLOOKUP(S52,'[1]COUNTRY LIST2'!$B$2:$G$254,2,0)</f>
        <v/>
      </c>
      <c r="U52" s="52">
        <f>VLOOKUP(S52,'[1]COUNTRY LIST2'!$B$2:$G$254,3,0)</f>
        <v/>
      </c>
      <c r="V52" s="52">
        <f>VLOOKUP(S52,'[1]COUNTRY LIST2'!$B$2:$G$254,6,0)</f>
        <v/>
      </c>
      <c r="W52" s="52">
        <f>VLOOKUP(S52,'[1]COUNTRY LIST2'!$B$2:$G$254,5,0)</f>
        <v/>
      </c>
      <c r="X52" s="52" t="n"/>
      <c r="Y52" s="62" t="n"/>
      <c r="Z52" s="63">
        <f>VLOOKUP(Y52,[1]OTH!A:B,2,0)</f>
        <v/>
      </c>
      <c r="AB52" s="63">
        <f>VLOOKUP(Y52,[1]OTH!$A$1:$C$22,3,0)</f>
        <v/>
      </c>
      <c r="AF52" s="64">
        <f>G52*H52</f>
        <v/>
      </c>
      <c r="AI52" s="65" t="n"/>
      <c r="AJ52" s="66">
        <f>ROUND(I52,2)</f>
        <v/>
      </c>
      <c r="AK52" s="40" t="inlineStr">
        <is>
          <t>x</t>
        </is>
      </c>
      <c r="AL52" s="67" t="n"/>
      <c r="AM52" s="40" t="inlineStr">
        <is>
          <t>x</t>
        </is>
      </c>
      <c r="AN52" s="13" t="n">
        <v>0</v>
      </c>
      <c r="AO52" s="13" t="n">
        <v>0</v>
      </c>
      <c r="AP52" s="13">
        <f>AN52+AO52</f>
        <v/>
      </c>
      <c r="AQ52" s="13">
        <f>AP52*G52</f>
        <v/>
      </c>
    </row>
    <row r="53" ht="10.25" customFormat="1" customHeight="1" s="9">
      <c r="B53" s="52" t="n"/>
      <c r="C53" s="52" t="n"/>
      <c r="D53" s="69" t="n"/>
      <c r="E53" s="52" t="n"/>
      <c r="F53" s="52" t="n"/>
      <c r="G53" s="54" t="n"/>
      <c r="H53" s="55" t="n"/>
      <c r="I53" s="56" t="n"/>
      <c r="J53" s="57" t="n"/>
      <c r="K53" s="58" t="n"/>
      <c r="L53" s="56" t="n"/>
      <c r="M53" s="59" t="n"/>
      <c r="N53" s="60" t="n"/>
      <c r="O53" s="60" t="n"/>
      <c r="P53" s="61" t="n"/>
      <c r="Q53" s="52" t="n"/>
      <c r="R53" s="52" t="n"/>
      <c r="S53" s="52" t="n"/>
      <c r="T53" s="52">
        <f>VLOOKUP(S53,'[1]COUNTRY LIST2'!$B$2:$G$254,2,0)</f>
        <v/>
      </c>
      <c r="U53" s="52">
        <f>VLOOKUP(S53,'[1]COUNTRY LIST2'!$B$2:$G$254,3,0)</f>
        <v/>
      </c>
      <c r="V53" s="52">
        <f>VLOOKUP(S53,'[1]COUNTRY LIST2'!$B$2:$G$254,6,0)</f>
        <v/>
      </c>
      <c r="W53" s="52">
        <f>VLOOKUP(S53,'[1]COUNTRY LIST2'!$B$2:$G$254,5,0)</f>
        <v/>
      </c>
      <c r="X53" s="52" t="n"/>
      <c r="Y53" s="62" t="n"/>
      <c r="Z53" s="63">
        <f>VLOOKUP(Y53,[1]OTH!A:B,2,0)</f>
        <v/>
      </c>
      <c r="AB53" s="63">
        <f>VLOOKUP(Y53,[1]OTH!$A$1:$C$22,3,0)</f>
        <v/>
      </c>
      <c r="AF53" s="64">
        <f>G53*H53</f>
        <v/>
      </c>
      <c r="AI53" s="65" t="n"/>
      <c r="AJ53" s="66">
        <f>ROUND(I53,2)</f>
        <v/>
      </c>
      <c r="AK53" s="40" t="inlineStr">
        <is>
          <t>x</t>
        </is>
      </c>
      <c r="AL53" s="67" t="n"/>
      <c r="AM53" s="40" t="inlineStr">
        <is>
          <t>x</t>
        </is>
      </c>
      <c r="AN53" s="13" t="n">
        <v>0</v>
      </c>
      <c r="AO53" s="13" t="n">
        <v>0</v>
      </c>
      <c r="AP53" s="13">
        <f>AN53+AO53</f>
        <v/>
      </c>
      <c r="AQ53" s="13">
        <f>AP53*G53</f>
        <v/>
      </c>
    </row>
    <row r="54" ht="10.25" customFormat="1" customHeight="1" s="9">
      <c r="B54" s="52" t="n"/>
      <c r="C54" s="52" t="n"/>
      <c r="D54" s="69" t="n"/>
      <c r="E54" s="52" t="n"/>
      <c r="F54" s="52" t="n"/>
      <c r="G54" s="54" t="n"/>
      <c r="H54" s="55" t="n"/>
      <c r="I54" s="56" t="n"/>
      <c r="J54" s="57" t="n"/>
      <c r="K54" s="58" t="n"/>
      <c r="L54" s="56" t="n"/>
      <c r="M54" s="59" t="n"/>
      <c r="N54" s="60" t="n"/>
      <c r="O54" s="60" t="n"/>
      <c r="P54" s="61" t="n"/>
      <c r="Q54" s="52" t="n"/>
      <c r="R54" s="52" t="n"/>
      <c r="S54" s="52" t="n"/>
      <c r="T54" s="52">
        <f>VLOOKUP(S54,'[1]COUNTRY LIST2'!$B$2:$G$254,2,0)</f>
        <v/>
      </c>
      <c r="U54" s="52">
        <f>VLOOKUP(S54,'[1]COUNTRY LIST2'!$B$2:$G$254,3,0)</f>
        <v/>
      </c>
      <c r="V54" s="52">
        <f>VLOOKUP(S54,'[1]COUNTRY LIST2'!$B$2:$G$254,6,0)</f>
        <v/>
      </c>
      <c r="W54" s="52">
        <f>VLOOKUP(S54,'[1]COUNTRY LIST2'!$B$2:$G$254,5,0)</f>
        <v/>
      </c>
      <c r="X54" s="52" t="n"/>
      <c r="Y54" s="62" t="n"/>
      <c r="Z54" s="63">
        <f>VLOOKUP(Y54,[1]OTH!A:B,2,0)</f>
        <v/>
      </c>
      <c r="AB54" s="63">
        <f>VLOOKUP(Y54,[1]OTH!$A$1:$C$22,3,0)</f>
        <v/>
      </c>
      <c r="AF54" s="64">
        <f>G54*H54</f>
        <v/>
      </c>
      <c r="AI54" s="65" t="n"/>
      <c r="AJ54" s="66">
        <f>ROUND(I54,2)</f>
        <v/>
      </c>
      <c r="AK54" s="40" t="inlineStr">
        <is>
          <t>x</t>
        </is>
      </c>
      <c r="AL54" s="67" t="n"/>
      <c r="AM54" s="40" t="inlineStr">
        <is>
          <t>x</t>
        </is>
      </c>
      <c r="AN54" s="13" t="n">
        <v>0</v>
      </c>
      <c r="AO54" s="13" t="n">
        <v>0</v>
      </c>
      <c r="AP54" s="13">
        <f>AN54+AO54</f>
        <v/>
      </c>
      <c r="AQ54" s="13">
        <f>AP54*G54</f>
        <v/>
      </c>
    </row>
    <row r="55" ht="10.25" customFormat="1" customHeight="1" s="9">
      <c r="B55" s="52" t="n"/>
      <c r="C55" s="52" t="n"/>
      <c r="D55" s="69" t="n"/>
      <c r="E55" s="52" t="n"/>
      <c r="F55" s="52" t="n"/>
      <c r="G55" s="54" t="n"/>
      <c r="H55" s="55" t="n"/>
      <c r="I55" s="56" t="n"/>
      <c r="J55" s="57" t="n"/>
      <c r="K55" s="58" t="n"/>
      <c r="L55" s="56" t="n"/>
      <c r="M55" s="59" t="n"/>
      <c r="N55" s="60" t="n"/>
      <c r="O55" s="60" t="n"/>
      <c r="P55" s="61" t="n"/>
      <c r="Q55" s="52" t="n"/>
      <c r="R55" s="52" t="n"/>
      <c r="S55" s="52" t="n"/>
      <c r="T55" s="52">
        <f>VLOOKUP(S55,'[1]COUNTRY LIST2'!$B$2:$G$254,2,0)</f>
        <v/>
      </c>
      <c r="U55" s="52">
        <f>VLOOKUP(S55,'[1]COUNTRY LIST2'!$B$2:$G$254,3,0)</f>
        <v/>
      </c>
      <c r="V55" s="52">
        <f>VLOOKUP(S55,'[1]COUNTRY LIST2'!$B$2:$G$254,6,0)</f>
        <v/>
      </c>
      <c r="W55" s="52">
        <f>VLOOKUP(S55,'[1]COUNTRY LIST2'!$B$2:$G$254,5,0)</f>
        <v/>
      </c>
      <c r="X55" s="52" t="n"/>
      <c r="Y55" s="62" t="n"/>
      <c r="Z55" s="63">
        <f>VLOOKUP(Y55,[1]OTH!A:B,2,0)</f>
        <v/>
      </c>
      <c r="AB55" s="63">
        <f>VLOOKUP(Y55,[1]OTH!$A$1:$C$22,3,0)</f>
        <v/>
      </c>
      <c r="AF55" s="64">
        <f>G55*H55</f>
        <v/>
      </c>
      <c r="AI55" s="65" t="n"/>
      <c r="AJ55" s="66">
        <f>ROUND(I55,2)</f>
        <v/>
      </c>
      <c r="AK55" s="40" t="inlineStr">
        <is>
          <t>x</t>
        </is>
      </c>
      <c r="AL55" s="67" t="n"/>
      <c r="AM55" s="40" t="inlineStr">
        <is>
          <t>x</t>
        </is>
      </c>
      <c r="AN55" s="13" t="n">
        <v>0</v>
      </c>
      <c r="AO55" s="13" t="n">
        <v>0</v>
      </c>
      <c r="AP55" s="13">
        <f>AN55+AO55</f>
        <v/>
      </c>
      <c r="AQ55" s="13">
        <f>AP55*G55</f>
        <v/>
      </c>
    </row>
    <row r="56" ht="10.25" customFormat="1" customHeight="1" s="9">
      <c r="B56" s="52" t="n"/>
      <c r="C56" s="52" t="n"/>
      <c r="D56" s="69" t="n"/>
      <c r="E56" s="52" t="n"/>
      <c r="F56" s="52" t="n"/>
      <c r="G56" s="54" t="n"/>
      <c r="H56" s="55" t="n"/>
      <c r="I56" s="56" t="n"/>
      <c r="J56" s="57" t="n"/>
      <c r="K56" s="58" t="n"/>
      <c r="L56" s="56" t="n"/>
      <c r="M56" s="59" t="n"/>
      <c r="N56" s="60" t="n"/>
      <c r="O56" s="60" t="n"/>
      <c r="P56" s="61" t="n"/>
      <c r="Q56" s="52" t="n"/>
      <c r="R56" s="52" t="n"/>
      <c r="S56" s="52" t="n"/>
      <c r="T56" s="52">
        <f>VLOOKUP(S56,'[1]COUNTRY LIST2'!$B$2:$G$254,2,0)</f>
        <v/>
      </c>
      <c r="U56" s="52">
        <f>VLOOKUP(S56,'[1]COUNTRY LIST2'!$B$2:$G$254,3,0)</f>
        <v/>
      </c>
      <c r="V56" s="52">
        <f>VLOOKUP(S56,'[1]COUNTRY LIST2'!$B$2:$G$254,6,0)</f>
        <v/>
      </c>
      <c r="W56" s="52">
        <f>VLOOKUP(S56,'[1]COUNTRY LIST2'!$B$2:$G$254,5,0)</f>
        <v/>
      </c>
      <c r="X56" s="52" t="n"/>
      <c r="Y56" s="62" t="n"/>
      <c r="Z56" s="63">
        <f>VLOOKUP(Y56,[1]OTH!A:B,2,0)</f>
        <v/>
      </c>
      <c r="AB56" s="63">
        <f>VLOOKUP(Y56,[1]OTH!$A$1:$C$22,3,0)</f>
        <v/>
      </c>
      <c r="AF56" s="64">
        <f>G56*H56</f>
        <v/>
      </c>
      <c r="AI56" s="65" t="n"/>
      <c r="AJ56" s="66">
        <f>ROUND(I56,2)</f>
        <v/>
      </c>
      <c r="AK56" s="40" t="inlineStr">
        <is>
          <t>x</t>
        </is>
      </c>
      <c r="AL56" s="67" t="n"/>
      <c r="AM56" s="40" t="inlineStr">
        <is>
          <t>x</t>
        </is>
      </c>
      <c r="AN56" s="13" t="n">
        <v>0</v>
      </c>
      <c r="AO56" s="13" t="n">
        <v>0</v>
      </c>
      <c r="AP56" s="13">
        <f>AN56+AO56</f>
        <v/>
      </c>
      <c r="AQ56" s="13">
        <f>AP56*G56</f>
        <v/>
      </c>
    </row>
    <row r="57" ht="10.25" customFormat="1" customHeight="1" s="9">
      <c r="B57" s="52" t="n"/>
      <c r="C57" s="52" t="n"/>
      <c r="D57" s="53" t="n"/>
      <c r="E57" s="52" t="n"/>
      <c r="F57" s="52" t="n"/>
      <c r="G57" s="54" t="n"/>
      <c r="H57" s="55" t="n"/>
      <c r="I57" s="56" t="n"/>
      <c r="J57" s="57" t="n"/>
      <c r="K57" s="58" t="n"/>
      <c r="L57" s="56" t="n"/>
      <c r="M57" s="59" t="n"/>
      <c r="N57" s="60" t="n"/>
      <c r="O57" s="60" t="n"/>
      <c r="P57" s="61" t="n"/>
      <c r="Q57" s="52" t="n"/>
      <c r="R57" s="52" t="n"/>
      <c r="S57" s="52" t="n"/>
      <c r="T57" s="52">
        <f>VLOOKUP(S57,'[1]COUNTRY LIST2'!$B$2:$G$254,2,0)</f>
        <v/>
      </c>
      <c r="U57" s="52">
        <f>VLOOKUP(S57,'[1]COUNTRY LIST2'!$B$2:$G$254,3,0)</f>
        <v/>
      </c>
      <c r="V57" s="52">
        <f>VLOOKUP(S57,'[1]COUNTRY LIST2'!$B$2:$G$254,6,0)</f>
        <v/>
      </c>
      <c r="W57" s="52">
        <f>VLOOKUP(S57,'[1]COUNTRY LIST2'!$B$2:$G$254,5,0)</f>
        <v/>
      </c>
      <c r="X57" s="52" t="n"/>
      <c r="Y57" s="62" t="n"/>
      <c r="Z57" s="63">
        <f>VLOOKUP(Y57,[1]OTH!A:B,2,0)</f>
        <v/>
      </c>
      <c r="AB57" s="63">
        <f>VLOOKUP(Y57,[1]OTH!$A$1:$C$22,3,0)</f>
        <v/>
      </c>
      <c r="AF57" s="64">
        <f>G57*H57</f>
        <v/>
      </c>
      <c r="AI57" s="65" t="n"/>
      <c r="AJ57" s="66">
        <f>ROUND(I57,2)</f>
        <v/>
      </c>
      <c r="AK57" s="40" t="inlineStr">
        <is>
          <t>x</t>
        </is>
      </c>
      <c r="AL57" s="67" t="n"/>
      <c r="AM57" s="40" t="inlineStr">
        <is>
          <t>x</t>
        </is>
      </c>
      <c r="AN57" s="13" t="n">
        <v>0</v>
      </c>
      <c r="AO57" s="13" t="n">
        <v>0</v>
      </c>
      <c r="AP57" s="13">
        <f>AN57+AO57</f>
        <v/>
      </c>
      <c r="AQ57" s="13">
        <f>AP57*G57</f>
        <v/>
      </c>
    </row>
    <row r="58" ht="10.25" customFormat="1" customHeight="1" s="9">
      <c r="B58" s="52" t="n"/>
      <c r="C58" s="52" t="n"/>
      <c r="D58" s="69" t="n"/>
      <c r="E58" s="52" t="n"/>
      <c r="F58" s="52" t="n"/>
      <c r="G58" s="54" t="n"/>
      <c r="H58" s="55" t="n"/>
      <c r="I58" s="56" t="n"/>
      <c r="J58" s="57" t="n"/>
      <c r="K58" s="58" t="n"/>
      <c r="L58" s="56" t="n"/>
      <c r="M58" s="59" t="n"/>
      <c r="N58" s="60" t="n"/>
      <c r="O58" s="60" t="n"/>
      <c r="P58" s="61" t="n"/>
      <c r="Q58" s="52" t="n"/>
      <c r="R58" s="52" t="n"/>
      <c r="S58" s="52" t="n"/>
      <c r="T58" s="52">
        <f>VLOOKUP(S58,'[1]COUNTRY LIST2'!$B$2:$G$254,2,0)</f>
        <v/>
      </c>
      <c r="U58" s="52">
        <f>VLOOKUP(S58,'[1]COUNTRY LIST2'!$B$2:$G$254,3,0)</f>
        <v/>
      </c>
      <c r="V58" s="52">
        <f>VLOOKUP(S58,'[1]COUNTRY LIST2'!$B$2:$G$254,6,0)</f>
        <v/>
      </c>
      <c r="W58" s="52">
        <f>VLOOKUP(S58,'[1]COUNTRY LIST2'!$B$2:$G$254,5,0)</f>
        <v/>
      </c>
      <c r="X58" s="52" t="n"/>
      <c r="Y58" s="62" t="n"/>
      <c r="Z58" s="63">
        <f>VLOOKUP(Y58,[1]OTH!A:B,2,0)</f>
        <v/>
      </c>
      <c r="AB58" s="63">
        <f>VLOOKUP(Y58,[1]OTH!$A$1:$C$22,3,0)</f>
        <v/>
      </c>
      <c r="AF58" s="64">
        <f>G58*H58</f>
        <v/>
      </c>
      <c r="AI58" s="65" t="n"/>
      <c r="AJ58" s="66">
        <f>ROUND(I58,2)</f>
        <v/>
      </c>
      <c r="AK58" s="40" t="inlineStr">
        <is>
          <t>x</t>
        </is>
      </c>
      <c r="AL58" s="67" t="n"/>
      <c r="AM58" s="40" t="inlineStr">
        <is>
          <t>x</t>
        </is>
      </c>
      <c r="AN58" s="13" t="n">
        <v>0</v>
      </c>
      <c r="AO58" s="13" t="n">
        <v>0</v>
      </c>
      <c r="AP58" s="13">
        <f>AN58+AO58</f>
        <v/>
      </c>
      <c r="AQ58" s="13">
        <f>AP58*G58</f>
        <v/>
      </c>
    </row>
    <row r="59" ht="10.25" customFormat="1" customHeight="1" s="9">
      <c r="B59" s="52" t="n"/>
      <c r="C59" s="52" t="n"/>
      <c r="D59" s="69" t="n"/>
      <c r="E59" s="52" t="n"/>
      <c r="F59" s="52" t="n"/>
      <c r="G59" s="54" t="n"/>
      <c r="H59" s="55" t="n"/>
      <c r="I59" s="56" t="n"/>
      <c r="J59" s="57" t="n"/>
      <c r="K59" s="58" t="n"/>
      <c r="L59" s="56" t="n"/>
      <c r="M59" s="59" t="n"/>
      <c r="N59" s="60" t="n"/>
      <c r="O59" s="60" t="n"/>
      <c r="P59" s="61" t="n"/>
      <c r="Q59" s="52" t="n"/>
      <c r="R59" s="52" t="n"/>
      <c r="S59" s="52" t="n"/>
      <c r="T59" s="52">
        <f>VLOOKUP(S59,'[1]COUNTRY LIST2'!$B$2:$G$254,2,0)</f>
        <v/>
      </c>
      <c r="U59" s="52">
        <f>VLOOKUP(S59,'[1]COUNTRY LIST2'!$B$2:$G$254,3,0)</f>
        <v/>
      </c>
      <c r="V59" s="52">
        <f>VLOOKUP(S59,'[1]COUNTRY LIST2'!$B$2:$G$254,6,0)</f>
        <v/>
      </c>
      <c r="W59" s="52">
        <f>VLOOKUP(S59,'[1]COUNTRY LIST2'!$B$2:$G$254,5,0)</f>
        <v/>
      </c>
      <c r="X59" s="52" t="n"/>
      <c r="Y59" s="62" t="n"/>
      <c r="Z59" s="63">
        <f>VLOOKUP(Y59,[1]OTH!A:B,2,0)</f>
        <v/>
      </c>
      <c r="AB59" s="63">
        <f>VLOOKUP(Y59,[1]OTH!$A$1:$C$22,3,0)</f>
        <v/>
      </c>
      <c r="AF59" s="64">
        <f>G59*H59</f>
        <v/>
      </c>
      <c r="AI59" s="65" t="n"/>
      <c r="AJ59" s="66">
        <f>ROUND(I59,2)</f>
        <v/>
      </c>
      <c r="AK59" s="40" t="inlineStr">
        <is>
          <t>x</t>
        </is>
      </c>
      <c r="AL59" s="67" t="n"/>
      <c r="AM59" s="40" t="inlineStr">
        <is>
          <t>x</t>
        </is>
      </c>
      <c r="AN59" s="13" t="n">
        <v>0</v>
      </c>
      <c r="AO59" s="13" t="n">
        <v>0</v>
      </c>
      <c r="AP59" s="13">
        <f>AN59+AO59</f>
        <v/>
      </c>
      <c r="AQ59" s="13">
        <f>AP59*G59</f>
        <v/>
      </c>
    </row>
    <row r="60" ht="10.25" customFormat="1" customHeight="1" s="9">
      <c r="B60" s="52" t="n"/>
      <c r="C60" s="52" t="n"/>
      <c r="D60" s="69" t="n"/>
      <c r="E60" s="52" t="n"/>
      <c r="F60" s="52" t="n"/>
      <c r="G60" s="54" t="n"/>
      <c r="H60" s="55" t="n"/>
      <c r="I60" s="56" t="n"/>
      <c r="J60" s="57" t="n"/>
      <c r="K60" s="58" t="n"/>
      <c r="L60" s="56" t="n"/>
      <c r="M60" s="59" t="n"/>
      <c r="N60" s="60" t="n"/>
      <c r="O60" s="60" t="n"/>
      <c r="P60" s="61" t="n"/>
      <c r="Q60" s="52" t="n"/>
      <c r="R60" s="52" t="n"/>
      <c r="S60" s="52" t="n"/>
      <c r="T60" s="52">
        <f>VLOOKUP(S60,'[1]COUNTRY LIST2'!$B$2:$G$254,2,0)</f>
        <v/>
      </c>
      <c r="U60" s="52">
        <f>VLOOKUP(S60,'[1]COUNTRY LIST2'!$B$2:$G$254,3,0)</f>
        <v/>
      </c>
      <c r="V60" s="52">
        <f>VLOOKUP(S60,'[1]COUNTRY LIST2'!$B$2:$G$254,6,0)</f>
        <v/>
      </c>
      <c r="W60" s="52">
        <f>VLOOKUP(S60,'[1]COUNTRY LIST2'!$B$2:$G$254,5,0)</f>
        <v/>
      </c>
      <c r="X60" s="52" t="n"/>
      <c r="Y60" s="62" t="n"/>
      <c r="Z60" s="63">
        <f>VLOOKUP(Y60,[1]OTH!A:B,2,0)</f>
        <v/>
      </c>
      <c r="AB60" s="63">
        <f>VLOOKUP(Y60,[1]OTH!$A$1:$C$22,3,0)</f>
        <v/>
      </c>
      <c r="AF60" s="64">
        <f>G60*H60</f>
        <v/>
      </c>
      <c r="AI60" s="65" t="n"/>
      <c r="AJ60" s="66">
        <f>ROUND(I60,2)</f>
        <v/>
      </c>
      <c r="AK60" s="40" t="inlineStr">
        <is>
          <t>x</t>
        </is>
      </c>
      <c r="AL60" s="67" t="n"/>
      <c r="AM60" s="40" t="inlineStr">
        <is>
          <t>x</t>
        </is>
      </c>
      <c r="AN60" s="13" t="n">
        <v>0</v>
      </c>
      <c r="AO60" s="13" t="n">
        <v>0</v>
      </c>
      <c r="AP60" s="13">
        <f>AN60+AO60</f>
        <v/>
      </c>
      <c r="AQ60" s="13">
        <f>AP60*G60</f>
        <v/>
      </c>
    </row>
    <row r="61" ht="10.25" customFormat="1" customHeight="1" s="9">
      <c r="B61" s="52" t="n"/>
      <c r="C61" s="52" t="n"/>
      <c r="D61" s="69" t="n"/>
      <c r="E61" s="52" t="n"/>
      <c r="F61" s="52" t="n"/>
      <c r="G61" s="54" t="n"/>
      <c r="H61" s="55" t="n"/>
      <c r="I61" s="56" t="n"/>
      <c r="J61" s="57" t="n"/>
      <c r="K61" s="58" t="n"/>
      <c r="L61" s="56" t="n"/>
      <c r="M61" s="59" t="n"/>
      <c r="N61" s="60" t="n"/>
      <c r="O61" s="60" t="n"/>
      <c r="P61" s="61" t="n"/>
      <c r="Q61" s="52" t="n"/>
      <c r="R61" s="52" t="n"/>
      <c r="S61" s="52" t="n"/>
      <c r="T61" s="52">
        <f>VLOOKUP(S61,'[1]COUNTRY LIST2'!$B$2:$G$254,2,0)</f>
        <v/>
      </c>
      <c r="U61" s="52">
        <f>VLOOKUP(S61,'[1]COUNTRY LIST2'!$B$2:$G$254,3,0)</f>
        <v/>
      </c>
      <c r="V61" s="52">
        <f>VLOOKUP(S61,'[1]COUNTRY LIST2'!$B$2:$G$254,6,0)</f>
        <v/>
      </c>
      <c r="W61" s="52">
        <f>VLOOKUP(S61,'[1]COUNTRY LIST2'!$B$2:$G$254,5,0)</f>
        <v/>
      </c>
      <c r="X61" s="52" t="n"/>
      <c r="Y61" s="62" t="n"/>
      <c r="Z61" s="63">
        <f>VLOOKUP(Y61,[1]OTH!A:B,2,0)</f>
        <v/>
      </c>
      <c r="AB61" s="63">
        <f>VLOOKUP(Y61,[1]OTH!$A$1:$C$22,3,0)</f>
        <v/>
      </c>
      <c r="AF61" s="64">
        <f>G61*H61</f>
        <v/>
      </c>
      <c r="AI61" s="65" t="n"/>
      <c r="AJ61" s="66">
        <f>ROUND(I61,2)</f>
        <v/>
      </c>
      <c r="AK61" s="40" t="inlineStr">
        <is>
          <t>x</t>
        </is>
      </c>
      <c r="AL61" s="67" t="n"/>
      <c r="AM61" s="40" t="inlineStr">
        <is>
          <t>x</t>
        </is>
      </c>
      <c r="AN61" s="13" t="n">
        <v>0</v>
      </c>
      <c r="AO61" s="13" t="n">
        <v>0</v>
      </c>
      <c r="AP61" s="13">
        <f>AN61+AO61</f>
        <v/>
      </c>
      <c r="AQ61" s="13">
        <f>AP61*G61</f>
        <v/>
      </c>
    </row>
    <row r="62" ht="10.25" customFormat="1" customHeight="1" s="9">
      <c r="B62" s="52" t="n"/>
      <c r="C62" s="52" t="n"/>
      <c r="D62" s="69" t="n"/>
      <c r="E62" s="52" t="n"/>
      <c r="F62" s="52" t="n"/>
      <c r="G62" s="54" t="n"/>
      <c r="H62" s="55" t="n"/>
      <c r="I62" s="56" t="n"/>
      <c r="J62" s="57" t="n"/>
      <c r="K62" s="58" t="n"/>
      <c r="L62" s="56" t="n"/>
      <c r="M62" s="59" t="n"/>
      <c r="N62" s="60" t="n"/>
      <c r="O62" s="60" t="n"/>
      <c r="P62" s="61" t="n"/>
      <c r="Q62" s="52" t="n"/>
      <c r="R62" s="52" t="n"/>
      <c r="S62" s="52" t="n"/>
      <c r="T62" s="52">
        <f>VLOOKUP(S62,'[1]COUNTRY LIST2'!$B$2:$G$254,2,0)</f>
        <v/>
      </c>
      <c r="U62" s="52">
        <f>VLOOKUP(S62,'[1]COUNTRY LIST2'!$B$2:$G$254,3,0)</f>
        <v/>
      </c>
      <c r="V62" s="52">
        <f>VLOOKUP(S62,'[1]COUNTRY LIST2'!$B$2:$G$254,6,0)</f>
        <v/>
      </c>
      <c r="W62" s="52">
        <f>VLOOKUP(S62,'[1]COUNTRY LIST2'!$B$2:$G$254,5,0)</f>
        <v/>
      </c>
      <c r="X62" s="52" t="n"/>
      <c r="Y62" s="62" t="n"/>
      <c r="Z62" s="63">
        <f>VLOOKUP(Y62,[1]OTH!A:B,2,0)</f>
        <v/>
      </c>
      <c r="AB62" s="63">
        <f>VLOOKUP(Y62,[1]OTH!$A$1:$C$22,3,0)</f>
        <v/>
      </c>
      <c r="AF62" s="64">
        <f>G62*H62</f>
        <v/>
      </c>
      <c r="AI62" s="65" t="n"/>
      <c r="AJ62" s="66">
        <f>ROUND(I62,2)</f>
        <v/>
      </c>
      <c r="AK62" s="40" t="inlineStr">
        <is>
          <t>x</t>
        </is>
      </c>
      <c r="AL62" s="67" t="n"/>
      <c r="AM62" s="40" t="inlineStr">
        <is>
          <t>x</t>
        </is>
      </c>
      <c r="AN62" s="13" t="n">
        <v>0</v>
      </c>
      <c r="AO62" s="13" t="n">
        <v>0</v>
      </c>
      <c r="AP62" s="13">
        <f>AN62+AO62</f>
        <v/>
      </c>
      <c r="AQ62" s="13">
        <f>AP62*G62</f>
        <v/>
      </c>
    </row>
    <row r="63" ht="10.25" customFormat="1" customHeight="1" s="9">
      <c r="B63" s="52" t="n"/>
      <c r="C63" s="52" t="n"/>
      <c r="D63" s="69" t="n"/>
      <c r="E63" s="52" t="n"/>
      <c r="F63" s="52" t="n"/>
      <c r="G63" s="54" t="n"/>
      <c r="H63" s="55" t="n"/>
      <c r="I63" s="56" t="n"/>
      <c r="J63" s="57" t="n"/>
      <c r="K63" s="58" t="n"/>
      <c r="L63" s="56" t="n"/>
      <c r="M63" s="59" t="n"/>
      <c r="N63" s="60" t="n"/>
      <c r="O63" s="60" t="n"/>
      <c r="P63" s="61" t="n"/>
      <c r="Q63" s="52" t="n"/>
      <c r="R63" s="52" t="n"/>
      <c r="S63" s="52" t="n"/>
      <c r="T63" s="52">
        <f>VLOOKUP(S63,'[1]COUNTRY LIST2'!$B$2:$G$254,2,0)</f>
        <v/>
      </c>
      <c r="U63" s="52">
        <f>VLOOKUP(S63,'[1]COUNTRY LIST2'!$B$2:$G$254,3,0)</f>
        <v/>
      </c>
      <c r="V63" s="52">
        <f>VLOOKUP(S63,'[1]COUNTRY LIST2'!$B$2:$G$254,6,0)</f>
        <v/>
      </c>
      <c r="W63" s="52">
        <f>VLOOKUP(S63,'[1]COUNTRY LIST2'!$B$2:$G$254,5,0)</f>
        <v/>
      </c>
      <c r="X63" s="52" t="n"/>
      <c r="Y63" s="62" t="n"/>
      <c r="Z63" s="63">
        <f>VLOOKUP(Y63,[1]OTH!A:B,2,0)</f>
        <v/>
      </c>
      <c r="AB63" s="63">
        <f>VLOOKUP(Y63,[1]OTH!$A$1:$C$22,3,0)</f>
        <v/>
      </c>
      <c r="AF63" s="64">
        <f>G63*H63</f>
        <v/>
      </c>
      <c r="AI63" s="65" t="n"/>
      <c r="AJ63" s="66">
        <f>ROUND(I63,2)</f>
        <v/>
      </c>
      <c r="AK63" s="40" t="inlineStr">
        <is>
          <t>x</t>
        </is>
      </c>
      <c r="AL63" s="67" t="n"/>
      <c r="AM63" s="40" t="inlineStr">
        <is>
          <t>x</t>
        </is>
      </c>
      <c r="AN63" s="13" t="n">
        <v>0</v>
      </c>
      <c r="AO63" s="13" t="n">
        <v>0</v>
      </c>
      <c r="AP63" s="13">
        <f>AN63+AO63</f>
        <v/>
      </c>
      <c r="AQ63" s="13">
        <f>AP63*G63</f>
        <v/>
      </c>
    </row>
    <row r="64" ht="10.25" customFormat="1" customHeight="1" s="9">
      <c r="B64" s="52" t="n"/>
      <c r="C64" s="52" t="n"/>
      <c r="D64" s="69" t="n"/>
      <c r="E64" s="52" t="n"/>
      <c r="F64" s="52" t="n"/>
      <c r="G64" s="54" t="n"/>
      <c r="H64" s="55" t="n"/>
      <c r="I64" s="56" t="n"/>
      <c r="J64" s="57" t="n"/>
      <c r="K64" s="58" t="n"/>
      <c r="L64" s="56" t="n"/>
      <c r="M64" s="59" t="n"/>
      <c r="N64" s="60" t="n"/>
      <c r="O64" s="60" t="n"/>
      <c r="P64" s="61" t="n"/>
      <c r="Q64" s="52" t="n"/>
      <c r="R64" s="52" t="n"/>
      <c r="S64" s="52" t="n"/>
      <c r="T64" s="52">
        <f>VLOOKUP(S64,'[1]COUNTRY LIST2'!$B$2:$G$254,2,0)</f>
        <v/>
      </c>
      <c r="U64" s="52">
        <f>VLOOKUP(S64,'[1]COUNTRY LIST2'!$B$2:$G$254,3,0)</f>
        <v/>
      </c>
      <c r="V64" s="52">
        <f>VLOOKUP(S64,'[1]COUNTRY LIST2'!$B$2:$G$254,6,0)</f>
        <v/>
      </c>
      <c r="W64" s="52">
        <f>VLOOKUP(S64,'[1]COUNTRY LIST2'!$B$2:$G$254,5,0)</f>
        <v/>
      </c>
      <c r="X64" s="52" t="n"/>
      <c r="Y64" s="62" t="n"/>
      <c r="Z64" s="63">
        <f>VLOOKUP(Y64,[1]OTH!A:B,2,0)</f>
        <v/>
      </c>
      <c r="AB64" s="63">
        <f>VLOOKUP(Y64,[1]OTH!$A$1:$C$22,3,0)</f>
        <v/>
      </c>
      <c r="AF64" s="64">
        <f>G64*H64</f>
        <v/>
      </c>
      <c r="AI64" s="65" t="n"/>
      <c r="AJ64" s="66">
        <f>ROUND(I64,2)</f>
        <v/>
      </c>
      <c r="AK64" s="40" t="inlineStr">
        <is>
          <t>x</t>
        </is>
      </c>
      <c r="AL64" s="67" t="n"/>
      <c r="AM64" s="40" t="inlineStr">
        <is>
          <t>x</t>
        </is>
      </c>
      <c r="AN64" s="13" t="n">
        <v>0</v>
      </c>
      <c r="AO64" s="13" t="n">
        <v>0</v>
      </c>
      <c r="AP64" s="13">
        <f>AN64+AO64</f>
        <v/>
      </c>
      <c r="AQ64" s="13">
        <f>AP64*G64</f>
        <v/>
      </c>
    </row>
    <row r="65" ht="10.25" customFormat="1" customHeight="1" s="9">
      <c r="B65" s="52" t="n"/>
      <c r="C65" s="52" t="n"/>
      <c r="D65" s="69" t="n"/>
      <c r="E65" s="52" t="n"/>
      <c r="F65" s="52" t="n"/>
      <c r="G65" s="54" t="n"/>
      <c r="H65" s="55" t="n"/>
      <c r="I65" s="56" t="n"/>
      <c r="J65" s="57" t="n"/>
      <c r="K65" s="58" t="n"/>
      <c r="L65" s="56" t="n"/>
      <c r="M65" s="59" t="n"/>
      <c r="N65" s="60" t="n"/>
      <c r="O65" s="60" t="n"/>
      <c r="P65" s="61" t="n"/>
      <c r="Q65" s="52" t="n"/>
      <c r="R65" s="52" t="n"/>
      <c r="S65" s="52" t="n"/>
      <c r="T65" s="52">
        <f>VLOOKUP(S65,'[1]COUNTRY LIST2'!$B$2:$G$254,2,0)</f>
        <v/>
      </c>
      <c r="U65" s="52">
        <f>VLOOKUP(S65,'[1]COUNTRY LIST2'!$B$2:$G$254,3,0)</f>
        <v/>
      </c>
      <c r="V65" s="52">
        <f>VLOOKUP(S65,'[1]COUNTRY LIST2'!$B$2:$G$254,6,0)</f>
        <v/>
      </c>
      <c r="W65" s="52">
        <f>VLOOKUP(S65,'[1]COUNTRY LIST2'!$B$2:$G$254,5,0)</f>
        <v/>
      </c>
      <c r="X65" s="52" t="n"/>
      <c r="Y65" s="62" t="n"/>
      <c r="Z65" s="63">
        <f>VLOOKUP(Y65,[1]OTH!A:B,2,0)</f>
        <v/>
      </c>
      <c r="AB65" s="63">
        <f>VLOOKUP(Y65,[1]OTH!$A$1:$C$22,3,0)</f>
        <v/>
      </c>
      <c r="AF65" s="64">
        <f>G65*H65</f>
        <v/>
      </c>
      <c r="AI65" s="65" t="n"/>
      <c r="AJ65" s="66">
        <f>ROUND(I65,2)</f>
        <v/>
      </c>
      <c r="AK65" s="40" t="inlineStr">
        <is>
          <t>x</t>
        </is>
      </c>
      <c r="AL65" s="67" t="n"/>
      <c r="AM65" s="40" t="inlineStr">
        <is>
          <t>x</t>
        </is>
      </c>
      <c r="AN65" s="13" t="n">
        <v>0</v>
      </c>
      <c r="AO65" s="13" t="n">
        <v>0</v>
      </c>
      <c r="AP65" s="13">
        <f>AN65+AO65</f>
        <v/>
      </c>
      <c r="AQ65" s="13">
        <f>AP65*G65</f>
        <v/>
      </c>
    </row>
    <row r="66" ht="10.25" customFormat="1" customHeight="1" s="9">
      <c r="B66" s="52" t="n"/>
      <c r="C66" s="52" t="n"/>
      <c r="D66" s="69" t="n"/>
      <c r="E66" s="52" t="n"/>
      <c r="F66" s="52" t="n"/>
      <c r="G66" s="54" t="n"/>
      <c r="H66" s="55" t="n"/>
      <c r="I66" s="56" t="n"/>
      <c r="J66" s="57" t="n"/>
      <c r="K66" s="58" t="n"/>
      <c r="L66" s="56" t="n"/>
      <c r="M66" s="59" t="n"/>
      <c r="N66" s="60" t="n"/>
      <c r="O66" s="60" t="n"/>
      <c r="P66" s="61" t="n"/>
      <c r="Q66" s="52" t="n"/>
      <c r="R66" s="52" t="n"/>
      <c r="S66" s="52" t="n"/>
      <c r="T66" s="52">
        <f>VLOOKUP(S66,'[1]COUNTRY LIST2'!$B$2:$G$254,2,0)</f>
        <v/>
      </c>
      <c r="U66" s="52">
        <f>VLOOKUP(S66,'[1]COUNTRY LIST2'!$B$2:$G$254,3,0)</f>
        <v/>
      </c>
      <c r="V66" s="52">
        <f>VLOOKUP(S66,'[1]COUNTRY LIST2'!$B$2:$G$254,6,0)</f>
        <v/>
      </c>
      <c r="W66" s="52">
        <f>VLOOKUP(S66,'[1]COUNTRY LIST2'!$B$2:$G$254,5,0)</f>
        <v/>
      </c>
      <c r="X66" s="52" t="n"/>
      <c r="Y66" s="62" t="n"/>
      <c r="Z66" s="63">
        <f>VLOOKUP(Y66,[1]OTH!A:B,2,0)</f>
        <v/>
      </c>
      <c r="AB66" s="63">
        <f>VLOOKUP(Y66,[1]OTH!$A$1:$C$22,3,0)</f>
        <v/>
      </c>
      <c r="AF66" s="64">
        <f>G66*H66</f>
        <v/>
      </c>
      <c r="AI66" s="65" t="n"/>
      <c r="AJ66" s="66">
        <f>ROUND(I66,2)</f>
        <v/>
      </c>
      <c r="AK66" s="40" t="inlineStr">
        <is>
          <t>x</t>
        </is>
      </c>
      <c r="AL66" s="67" t="n"/>
      <c r="AM66" s="40" t="inlineStr">
        <is>
          <t>x</t>
        </is>
      </c>
      <c r="AN66" s="13" t="n">
        <v>0</v>
      </c>
      <c r="AO66" s="13" t="n">
        <v>0</v>
      </c>
      <c r="AP66" s="13">
        <f>AN66+AO66</f>
        <v/>
      </c>
      <c r="AQ66" s="13">
        <f>AP66*G66</f>
        <v/>
      </c>
    </row>
    <row r="67" ht="10.25" customFormat="1" customHeight="1" s="9">
      <c r="B67" s="52" t="n"/>
      <c r="C67" s="52" t="n"/>
      <c r="D67" s="69" t="n"/>
      <c r="E67" s="52" t="n"/>
      <c r="F67" s="52" t="n"/>
      <c r="G67" s="54" t="n"/>
      <c r="H67" s="55" t="n"/>
      <c r="I67" s="56" t="n"/>
      <c r="J67" s="57" t="n"/>
      <c r="K67" s="58" t="n"/>
      <c r="L67" s="56" t="n"/>
      <c r="M67" s="59" t="n"/>
      <c r="N67" s="60" t="n"/>
      <c r="O67" s="60" t="n"/>
      <c r="P67" s="61" t="n"/>
      <c r="Q67" s="52" t="n"/>
      <c r="R67" s="52" t="n"/>
      <c r="S67" s="52" t="n"/>
      <c r="T67" s="52">
        <f>VLOOKUP(S67,'[1]COUNTRY LIST2'!$B$2:$G$254,2,0)</f>
        <v/>
      </c>
      <c r="U67" s="52">
        <f>VLOOKUP(S67,'[1]COUNTRY LIST2'!$B$2:$G$254,3,0)</f>
        <v/>
      </c>
      <c r="V67" s="52">
        <f>VLOOKUP(S67,'[1]COUNTRY LIST2'!$B$2:$G$254,6,0)</f>
        <v/>
      </c>
      <c r="W67" s="52">
        <f>VLOOKUP(S67,'[1]COUNTRY LIST2'!$B$2:$G$254,5,0)</f>
        <v/>
      </c>
      <c r="X67" s="52" t="n"/>
      <c r="Y67" s="62" t="n"/>
      <c r="Z67" s="63">
        <f>VLOOKUP(Y67,[1]OTH!A:B,2,0)</f>
        <v/>
      </c>
      <c r="AB67" s="63">
        <f>VLOOKUP(Y67,[1]OTH!$A$1:$C$22,3,0)</f>
        <v/>
      </c>
      <c r="AF67" s="64">
        <f>G67*H67</f>
        <v/>
      </c>
      <c r="AI67" s="65" t="n"/>
      <c r="AJ67" s="66">
        <f>ROUND(I67,2)</f>
        <v/>
      </c>
      <c r="AK67" s="40" t="inlineStr">
        <is>
          <t>x</t>
        </is>
      </c>
      <c r="AL67" s="67" t="n"/>
      <c r="AM67" s="40" t="inlineStr">
        <is>
          <t>x</t>
        </is>
      </c>
      <c r="AN67" s="13" t="n">
        <v>0</v>
      </c>
      <c r="AO67" s="13" t="n">
        <v>0</v>
      </c>
      <c r="AP67" s="13">
        <f>AN67+AO67</f>
        <v/>
      </c>
      <c r="AQ67" s="13">
        <f>AP67*G67</f>
        <v/>
      </c>
    </row>
    <row r="68" ht="10.25" customFormat="1" customHeight="1" s="9">
      <c r="B68" s="52" t="n"/>
      <c r="C68" s="52" t="n"/>
      <c r="D68" s="69" t="n"/>
      <c r="E68" s="52" t="n"/>
      <c r="F68" s="52" t="n"/>
      <c r="G68" s="54" t="n"/>
      <c r="H68" s="55" t="n"/>
      <c r="I68" s="56" t="n"/>
      <c r="J68" s="57" t="n"/>
      <c r="K68" s="58" t="n"/>
      <c r="L68" s="56" t="n"/>
      <c r="M68" s="59" t="n"/>
      <c r="N68" s="60" t="n"/>
      <c r="O68" s="60" t="n"/>
      <c r="P68" s="61" t="n"/>
      <c r="Q68" s="52" t="n"/>
      <c r="R68" s="52" t="n"/>
      <c r="S68" s="52" t="n"/>
      <c r="T68" s="52">
        <f>VLOOKUP(S68,'[1]COUNTRY LIST2'!$B$2:$G$254,2,0)</f>
        <v/>
      </c>
      <c r="U68" s="52">
        <f>VLOOKUP(S68,'[1]COUNTRY LIST2'!$B$2:$G$254,3,0)</f>
        <v/>
      </c>
      <c r="V68" s="52">
        <f>VLOOKUP(S68,'[1]COUNTRY LIST2'!$B$2:$G$254,6,0)</f>
        <v/>
      </c>
      <c r="W68" s="52">
        <f>VLOOKUP(S68,'[1]COUNTRY LIST2'!$B$2:$G$254,5,0)</f>
        <v/>
      </c>
      <c r="X68" s="52" t="n"/>
      <c r="Y68" s="62" t="n"/>
      <c r="Z68" s="63">
        <f>VLOOKUP(Y68,[1]OTH!A:B,2,0)</f>
        <v/>
      </c>
      <c r="AB68" s="63">
        <f>VLOOKUP(Y68,[1]OTH!$A$1:$C$22,3,0)</f>
        <v/>
      </c>
      <c r="AF68" s="64">
        <f>G68*H68</f>
        <v/>
      </c>
      <c r="AI68" s="65" t="n"/>
      <c r="AJ68" s="66">
        <f>ROUND(I68,2)</f>
        <v/>
      </c>
      <c r="AK68" s="40" t="inlineStr">
        <is>
          <t>x</t>
        </is>
      </c>
      <c r="AL68" s="67" t="n"/>
      <c r="AM68" s="40" t="inlineStr">
        <is>
          <t>x</t>
        </is>
      </c>
      <c r="AN68" s="13" t="n">
        <v>0</v>
      </c>
      <c r="AO68" s="13" t="n">
        <v>0</v>
      </c>
      <c r="AP68" s="13">
        <f>AN68+AO68</f>
        <v/>
      </c>
      <c r="AQ68" s="13">
        <f>AP68*G68</f>
        <v/>
      </c>
    </row>
    <row r="69" ht="10.25" customFormat="1" customHeight="1" s="9">
      <c r="B69" s="52" t="n"/>
      <c r="C69" s="52" t="n"/>
      <c r="D69" s="69" t="n"/>
      <c r="E69" s="52" t="n"/>
      <c r="F69" s="52" t="n"/>
      <c r="G69" s="54" t="n"/>
      <c r="H69" s="55" t="n"/>
      <c r="I69" s="56" t="n"/>
      <c r="J69" s="57" t="n"/>
      <c r="K69" s="58" t="n"/>
      <c r="L69" s="56" t="n"/>
      <c r="M69" s="59" t="n"/>
      <c r="N69" s="60" t="n"/>
      <c r="O69" s="60" t="n"/>
      <c r="P69" s="61" t="n"/>
      <c r="Q69" s="52" t="n"/>
      <c r="R69" s="52" t="n"/>
      <c r="S69" s="52" t="n"/>
      <c r="T69" s="52">
        <f>VLOOKUP(S69,'[1]COUNTRY LIST2'!$B$2:$G$254,2,0)</f>
        <v/>
      </c>
      <c r="U69" s="52">
        <f>VLOOKUP(S69,'[1]COUNTRY LIST2'!$B$2:$G$254,3,0)</f>
        <v/>
      </c>
      <c r="V69" s="52">
        <f>VLOOKUP(S69,'[1]COUNTRY LIST2'!$B$2:$G$254,6,0)</f>
        <v/>
      </c>
      <c r="W69" s="52">
        <f>VLOOKUP(S69,'[1]COUNTRY LIST2'!$B$2:$G$254,5,0)</f>
        <v/>
      </c>
      <c r="X69" s="52" t="n"/>
      <c r="Y69" s="62" t="n"/>
      <c r="Z69" s="63">
        <f>VLOOKUP(Y69,[1]OTH!A:B,2,0)</f>
        <v/>
      </c>
      <c r="AB69" s="63">
        <f>VLOOKUP(Y69,[1]OTH!$A$1:$C$22,3,0)</f>
        <v/>
      </c>
      <c r="AF69" s="64">
        <f>G69*H69</f>
        <v/>
      </c>
      <c r="AI69" s="65" t="n"/>
      <c r="AJ69" s="66">
        <f>ROUND(I69,2)</f>
        <v/>
      </c>
      <c r="AK69" s="40" t="inlineStr">
        <is>
          <t>x</t>
        </is>
      </c>
      <c r="AL69" s="67" t="n"/>
      <c r="AM69" s="40" t="inlineStr">
        <is>
          <t>x</t>
        </is>
      </c>
      <c r="AN69" s="13" t="n">
        <v>0</v>
      </c>
      <c r="AO69" s="13" t="n">
        <v>0</v>
      </c>
      <c r="AP69" s="13">
        <f>AN69+AO69</f>
        <v/>
      </c>
      <c r="AQ69" s="13">
        <f>AP69*G69</f>
        <v/>
      </c>
    </row>
    <row r="70" ht="10.25" customFormat="1" customHeight="1" s="9">
      <c r="B70" s="52" t="n"/>
      <c r="C70" s="52" t="n"/>
      <c r="D70" s="69" t="n"/>
      <c r="E70" s="52" t="n"/>
      <c r="F70" s="52" t="n"/>
      <c r="G70" s="54" t="n"/>
      <c r="H70" s="55" t="n"/>
      <c r="I70" s="56" t="n"/>
      <c r="J70" s="57" t="n"/>
      <c r="K70" s="58" t="n"/>
      <c r="L70" s="56" t="n"/>
      <c r="M70" s="59" t="n"/>
      <c r="N70" s="60" t="n"/>
      <c r="O70" s="60" t="n"/>
      <c r="P70" s="61" t="n"/>
      <c r="Q70" s="52" t="n"/>
      <c r="R70" s="52" t="n"/>
      <c r="S70" s="52" t="n"/>
      <c r="T70" s="52">
        <f>VLOOKUP(S70,'[1]COUNTRY LIST2'!$B$2:$G$254,2,0)</f>
        <v/>
      </c>
      <c r="U70" s="52">
        <f>VLOOKUP(S70,'[1]COUNTRY LIST2'!$B$2:$G$254,3,0)</f>
        <v/>
      </c>
      <c r="V70" s="52">
        <f>VLOOKUP(S70,'[1]COUNTRY LIST2'!$B$2:$G$254,6,0)</f>
        <v/>
      </c>
      <c r="W70" s="52">
        <f>VLOOKUP(S70,'[1]COUNTRY LIST2'!$B$2:$G$254,5,0)</f>
        <v/>
      </c>
      <c r="X70" s="52" t="n"/>
      <c r="Y70" s="62" t="n"/>
      <c r="Z70" s="63">
        <f>VLOOKUP(Y70,[1]OTH!A:B,2,0)</f>
        <v/>
      </c>
      <c r="AB70" s="63">
        <f>VLOOKUP(Y70,[1]OTH!$A$1:$C$22,3,0)</f>
        <v/>
      </c>
      <c r="AF70" s="64">
        <f>G70*H70</f>
        <v/>
      </c>
      <c r="AI70" s="65" t="n"/>
      <c r="AJ70" s="66">
        <f>ROUND(I70,2)</f>
        <v/>
      </c>
      <c r="AK70" s="40" t="inlineStr">
        <is>
          <t>x</t>
        </is>
      </c>
      <c r="AL70" s="67" t="n"/>
      <c r="AM70" s="40" t="inlineStr">
        <is>
          <t>x</t>
        </is>
      </c>
      <c r="AN70" s="13" t="n">
        <v>0</v>
      </c>
      <c r="AO70" s="13" t="n">
        <v>0</v>
      </c>
      <c r="AP70" s="13">
        <f>AN70+AO70</f>
        <v/>
      </c>
      <c r="AQ70" s="13">
        <f>AP70*G70</f>
        <v/>
      </c>
    </row>
    <row r="71" ht="10.25" customFormat="1" customHeight="1" s="9">
      <c r="B71" s="52" t="n"/>
      <c r="C71" s="52" t="n"/>
      <c r="D71" s="69" t="n"/>
      <c r="E71" s="52" t="n"/>
      <c r="F71" s="52" t="n"/>
      <c r="G71" s="54" t="n"/>
      <c r="H71" s="55" t="n"/>
      <c r="I71" s="56" t="n"/>
      <c r="J71" s="57" t="n"/>
      <c r="K71" s="58" t="n"/>
      <c r="L71" s="56" t="n"/>
      <c r="M71" s="59" t="n"/>
      <c r="N71" s="60" t="n"/>
      <c r="O71" s="60" t="n"/>
      <c r="P71" s="61" t="n"/>
      <c r="Q71" s="52" t="n"/>
      <c r="R71" s="52" t="n"/>
      <c r="S71" s="52" t="n"/>
      <c r="T71" s="52">
        <f>VLOOKUP(S71,'[1]COUNTRY LIST2'!$B$2:$G$254,2,0)</f>
        <v/>
      </c>
      <c r="U71" s="52">
        <f>VLOOKUP(S71,'[1]COUNTRY LIST2'!$B$2:$G$254,3,0)</f>
        <v/>
      </c>
      <c r="V71" s="52">
        <f>VLOOKUP(S71,'[1]COUNTRY LIST2'!$B$2:$G$254,6,0)</f>
        <v/>
      </c>
      <c r="W71" s="52">
        <f>VLOOKUP(S71,'[1]COUNTRY LIST2'!$B$2:$G$254,5,0)</f>
        <v/>
      </c>
      <c r="X71" s="52" t="n"/>
      <c r="Y71" s="62" t="n"/>
      <c r="Z71" s="63">
        <f>VLOOKUP(Y71,[1]OTH!A:B,2,0)</f>
        <v/>
      </c>
      <c r="AB71" s="63">
        <f>VLOOKUP(Y71,[1]OTH!$A$1:$C$22,3,0)</f>
        <v/>
      </c>
      <c r="AF71" s="64">
        <f>G71*H71</f>
        <v/>
      </c>
      <c r="AI71" s="65" t="n"/>
      <c r="AJ71" s="66">
        <f>ROUND(I71,2)</f>
        <v/>
      </c>
      <c r="AK71" s="40" t="inlineStr">
        <is>
          <t>x</t>
        </is>
      </c>
      <c r="AL71" s="67" t="n"/>
      <c r="AM71" s="40" t="inlineStr">
        <is>
          <t>x</t>
        </is>
      </c>
      <c r="AN71" s="13" t="n">
        <v>0</v>
      </c>
      <c r="AO71" s="13" t="n">
        <v>0</v>
      </c>
      <c r="AP71" s="13">
        <f>AN71+AO71</f>
        <v/>
      </c>
      <c r="AQ71" s="13">
        <f>AP71*G71</f>
        <v/>
      </c>
    </row>
    <row r="72" ht="10.25" customFormat="1" customHeight="1" s="9">
      <c r="B72" s="52" t="n"/>
      <c r="C72" s="52" t="n"/>
      <c r="D72" s="69" t="n"/>
      <c r="E72" s="52" t="n"/>
      <c r="F72" s="52" t="n"/>
      <c r="G72" s="70" t="n"/>
      <c r="H72" s="55" t="n"/>
      <c r="I72" s="56" t="n"/>
      <c r="J72" s="57" t="n"/>
      <c r="K72" s="58" t="n"/>
      <c r="L72" s="56" t="n"/>
      <c r="M72" s="59" t="n"/>
      <c r="N72" s="60" t="n"/>
      <c r="O72" s="60" t="n"/>
      <c r="P72" s="61" t="n"/>
      <c r="Q72" s="52" t="n"/>
      <c r="R72" s="52" t="n"/>
      <c r="S72" s="52" t="n"/>
      <c r="T72" s="52">
        <f>VLOOKUP(S72,'[1]COUNTRY LIST2'!$B$2:$G$254,2,0)</f>
        <v/>
      </c>
      <c r="U72" s="52">
        <f>VLOOKUP(S72,'[1]COUNTRY LIST2'!$B$2:$G$254,3,0)</f>
        <v/>
      </c>
      <c r="V72" s="52">
        <f>VLOOKUP(S72,'[1]COUNTRY LIST2'!$B$2:$G$254,6,0)</f>
        <v/>
      </c>
      <c r="W72" s="52">
        <f>VLOOKUP(S72,'[1]COUNTRY LIST2'!$B$2:$G$254,5,0)</f>
        <v/>
      </c>
      <c r="X72" s="52" t="n"/>
      <c r="Y72" s="62" t="n"/>
      <c r="Z72" s="63">
        <f>VLOOKUP(Y72,[1]OTH!A:B,2,0)</f>
        <v/>
      </c>
      <c r="AB72" s="63">
        <f>VLOOKUP(Y72,[1]OTH!$A$1:$C$22,3,0)</f>
        <v/>
      </c>
      <c r="AF72" s="64">
        <f>G72*H72</f>
        <v/>
      </c>
      <c r="AI72" s="65" t="n"/>
      <c r="AJ72" s="66">
        <f>ROUND(I72,2)</f>
        <v/>
      </c>
      <c r="AK72" s="40" t="inlineStr">
        <is>
          <t>x</t>
        </is>
      </c>
      <c r="AL72" s="67" t="n"/>
      <c r="AM72" s="40" t="inlineStr">
        <is>
          <t>x</t>
        </is>
      </c>
      <c r="AN72" s="13" t="n">
        <v>0</v>
      </c>
      <c r="AO72" s="13" t="n">
        <v>0</v>
      </c>
      <c r="AP72" s="13">
        <f>AN72+AO72</f>
        <v/>
      </c>
      <c r="AQ72" s="13">
        <f>AP72*G72</f>
        <v/>
      </c>
    </row>
    <row r="73" ht="10.25" customFormat="1" customHeight="1" s="9">
      <c r="B73" s="52" t="n"/>
      <c r="C73" s="52" t="n"/>
      <c r="D73" s="69" t="n"/>
      <c r="E73" s="52" t="n"/>
      <c r="F73" s="52" t="n"/>
      <c r="G73" s="70" t="n"/>
      <c r="H73" s="55" t="n"/>
      <c r="I73" s="56" t="n"/>
      <c r="J73" s="57" t="n"/>
      <c r="K73" s="58" t="n"/>
      <c r="L73" s="56" t="n"/>
      <c r="M73" s="59" t="n"/>
      <c r="N73" s="60" t="n"/>
      <c r="O73" s="60" t="n"/>
      <c r="P73" s="61" t="n"/>
      <c r="Q73" s="52" t="n"/>
      <c r="R73" s="52" t="n"/>
      <c r="S73" s="52" t="n"/>
      <c r="T73" s="52">
        <f>VLOOKUP(S73,'[1]COUNTRY LIST2'!$B$2:$G$254,2,0)</f>
        <v/>
      </c>
      <c r="U73" s="52">
        <f>VLOOKUP(S73,'[1]COUNTRY LIST2'!$B$2:$G$254,3,0)</f>
        <v/>
      </c>
      <c r="V73" s="52">
        <f>VLOOKUP(S73,'[1]COUNTRY LIST2'!$B$2:$G$254,6,0)</f>
        <v/>
      </c>
      <c r="W73" s="52">
        <f>VLOOKUP(S73,'[1]COUNTRY LIST2'!$B$2:$G$254,5,0)</f>
        <v/>
      </c>
      <c r="X73" s="52" t="n"/>
      <c r="Y73" s="62" t="n"/>
      <c r="Z73" s="63">
        <f>VLOOKUP(Y73,[1]OTH!A:B,2,0)</f>
        <v/>
      </c>
      <c r="AB73" s="63">
        <f>VLOOKUP(Y73,[1]OTH!$A$1:$C$22,3,0)</f>
        <v/>
      </c>
      <c r="AF73" s="64">
        <f>G73*H73</f>
        <v/>
      </c>
      <c r="AI73" s="65" t="n"/>
      <c r="AJ73" s="66">
        <f>ROUND(I73,2)</f>
        <v/>
      </c>
      <c r="AK73" s="40" t="inlineStr">
        <is>
          <t>x</t>
        </is>
      </c>
      <c r="AL73" s="67" t="n"/>
      <c r="AM73" s="40" t="inlineStr">
        <is>
          <t>x</t>
        </is>
      </c>
      <c r="AN73" s="13" t="n">
        <v>0</v>
      </c>
      <c r="AO73" s="13" t="n">
        <v>0</v>
      </c>
      <c r="AP73" s="13">
        <f>AN73+AO73</f>
        <v/>
      </c>
      <c r="AQ73" s="13">
        <f>AP73*G73</f>
        <v/>
      </c>
    </row>
    <row r="74" ht="10.25" customFormat="1" customHeight="1" s="9">
      <c r="B74" s="52" t="n"/>
      <c r="C74" s="52" t="n"/>
      <c r="D74" s="69" t="n"/>
      <c r="E74" s="52" t="n"/>
      <c r="F74" s="52" t="n"/>
      <c r="G74" s="70" t="n"/>
      <c r="H74" s="55" t="n"/>
      <c r="I74" s="56" t="n"/>
      <c r="J74" s="57" t="n"/>
      <c r="K74" s="58" t="n"/>
      <c r="L74" s="56" t="n"/>
      <c r="M74" s="59" t="n"/>
      <c r="N74" s="60" t="n"/>
      <c r="O74" s="60" t="n"/>
      <c r="P74" s="61" t="n"/>
      <c r="Q74" s="52" t="n"/>
      <c r="R74" s="52" t="n"/>
      <c r="S74" s="52" t="n"/>
      <c r="T74" s="52">
        <f>VLOOKUP(S74,'[1]COUNTRY LIST2'!$B$2:$G$254,2,0)</f>
        <v/>
      </c>
      <c r="U74" s="52">
        <f>VLOOKUP(S74,'[1]COUNTRY LIST2'!$B$2:$G$254,3,0)</f>
        <v/>
      </c>
      <c r="V74" s="52">
        <f>VLOOKUP(S74,'[1]COUNTRY LIST2'!$B$2:$G$254,6,0)</f>
        <v/>
      </c>
      <c r="W74" s="52">
        <f>VLOOKUP(S74,'[1]COUNTRY LIST2'!$B$2:$G$254,5,0)</f>
        <v/>
      </c>
      <c r="X74" s="52" t="n"/>
      <c r="Y74" s="62" t="n"/>
      <c r="Z74" s="63">
        <f>VLOOKUP(Y74,[1]OTH!A:B,2,0)</f>
        <v/>
      </c>
      <c r="AB74" s="63">
        <f>VLOOKUP(Y74,[1]OTH!$A$1:$C$22,3,0)</f>
        <v/>
      </c>
      <c r="AF74" s="64">
        <f>G74*H74</f>
        <v/>
      </c>
      <c r="AI74" s="65" t="n"/>
      <c r="AJ74" s="66">
        <f>ROUND(I74,2)</f>
        <v/>
      </c>
      <c r="AK74" s="40" t="inlineStr">
        <is>
          <t>x</t>
        </is>
      </c>
      <c r="AL74" s="67" t="n"/>
      <c r="AM74" s="40" t="inlineStr">
        <is>
          <t>x</t>
        </is>
      </c>
      <c r="AN74" s="13" t="n">
        <v>0</v>
      </c>
      <c r="AO74" s="13" t="n">
        <v>0</v>
      </c>
      <c r="AP74" s="13">
        <f>AN74+AO74</f>
        <v/>
      </c>
      <c r="AQ74" s="13">
        <f>AP74*G74</f>
        <v/>
      </c>
    </row>
    <row r="75" ht="10.25" customFormat="1" customHeight="1" s="9">
      <c r="B75" s="52" t="n"/>
      <c r="C75" s="52" t="n"/>
      <c r="D75" s="69" t="n"/>
      <c r="E75" s="52" t="n"/>
      <c r="F75" s="52" t="n"/>
      <c r="G75" s="70" t="n"/>
      <c r="H75" s="55" t="n"/>
      <c r="I75" s="56" t="n"/>
      <c r="J75" s="57" t="n"/>
      <c r="K75" s="58" t="n"/>
      <c r="L75" s="56" t="n"/>
      <c r="M75" s="59" t="n"/>
      <c r="N75" s="60" t="n"/>
      <c r="O75" s="60" t="n"/>
      <c r="P75" s="61" t="n"/>
      <c r="Q75" s="52" t="n"/>
      <c r="R75" s="52" t="n"/>
      <c r="S75" s="52" t="n"/>
      <c r="T75" s="52">
        <f>VLOOKUP(S75,'[1]COUNTRY LIST2'!$B$2:$G$254,2,0)</f>
        <v/>
      </c>
      <c r="U75" s="52">
        <f>VLOOKUP(S75,'[1]COUNTRY LIST2'!$B$2:$G$254,3,0)</f>
        <v/>
      </c>
      <c r="V75" s="52">
        <f>VLOOKUP(S75,'[1]COUNTRY LIST2'!$B$2:$G$254,6,0)</f>
        <v/>
      </c>
      <c r="W75" s="52">
        <f>VLOOKUP(S75,'[1]COUNTRY LIST2'!$B$2:$G$254,5,0)</f>
        <v/>
      </c>
      <c r="X75" s="52" t="n"/>
      <c r="Y75" s="62" t="n"/>
      <c r="Z75" s="63">
        <f>VLOOKUP(Y75,[1]OTH!A:B,2,0)</f>
        <v/>
      </c>
      <c r="AB75" s="63">
        <f>VLOOKUP(Y75,[1]OTH!$A$1:$C$22,3,0)</f>
        <v/>
      </c>
      <c r="AF75" s="64">
        <f>G75*H75</f>
        <v/>
      </c>
      <c r="AI75" s="65" t="n"/>
      <c r="AJ75" s="66">
        <f>ROUND(I75,2)</f>
        <v/>
      </c>
      <c r="AK75" s="40" t="inlineStr">
        <is>
          <t>x</t>
        </is>
      </c>
      <c r="AL75" s="67" t="n"/>
      <c r="AM75" s="40" t="inlineStr">
        <is>
          <t>x</t>
        </is>
      </c>
      <c r="AN75" s="13" t="n">
        <v>0</v>
      </c>
      <c r="AO75" s="13" t="n">
        <v>0</v>
      </c>
      <c r="AP75" s="13">
        <f>AN75+AO75</f>
        <v/>
      </c>
      <c r="AQ75" s="13">
        <f>AP75*G75</f>
        <v/>
      </c>
    </row>
    <row r="76" ht="10.25" customFormat="1" customHeight="1" s="9">
      <c r="B76" s="52" t="n"/>
      <c r="C76" s="52" t="n"/>
      <c r="D76" s="69" t="n"/>
      <c r="E76" s="52" t="n"/>
      <c r="F76" s="52" t="n"/>
      <c r="G76" s="70" t="n"/>
      <c r="H76" s="55" t="n"/>
      <c r="I76" s="56" t="n"/>
      <c r="J76" s="57" t="n"/>
      <c r="K76" s="58" t="n"/>
      <c r="L76" s="56" t="n"/>
      <c r="M76" s="59" t="n"/>
      <c r="N76" s="60" t="n"/>
      <c r="O76" s="60" t="n"/>
      <c r="P76" s="61" t="n"/>
      <c r="Q76" s="52" t="n"/>
      <c r="R76" s="52" t="n"/>
      <c r="S76" s="52" t="n"/>
      <c r="T76" s="52">
        <f>VLOOKUP(S76,'[1]COUNTRY LIST2'!$B$2:$G$254,2,0)</f>
        <v/>
      </c>
      <c r="U76" s="52">
        <f>VLOOKUP(S76,'[1]COUNTRY LIST2'!$B$2:$G$254,3,0)</f>
        <v/>
      </c>
      <c r="V76" s="52">
        <f>VLOOKUP(S76,'[1]COUNTRY LIST2'!$B$2:$G$254,6,0)</f>
        <v/>
      </c>
      <c r="W76" s="52">
        <f>VLOOKUP(S76,'[1]COUNTRY LIST2'!$B$2:$G$254,5,0)</f>
        <v/>
      </c>
      <c r="X76" s="52" t="n"/>
      <c r="Y76" s="62" t="n"/>
      <c r="Z76" s="63">
        <f>VLOOKUP(Y76,[1]OTH!A:B,2,0)</f>
        <v/>
      </c>
      <c r="AB76" s="63">
        <f>VLOOKUP(Y76,[1]OTH!$A$1:$C$22,3,0)</f>
        <v/>
      </c>
      <c r="AF76" s="64">
        <f>G76*H76</f>
        <v/>
      </c>
      <c r="AI76" s="65" t="n"/>
      <c r="AJ76" s="66">
        <f>ROUND(I76,2)</f>
        <v/>
      </c>
      <c r="AK76" s="40" t="inlineStr">
        <is>
          <t>x</t>
        </is>
      </c>
      <c r="AL76" s="67" t="n"/>
      <c r="AM76" s="40" t="inlineStr">
        <is>
          <t>x</t>
        </is>
      </c>
      <c r="AN76" s="13" t="n">
        <v>0</v>
      </c>
      <c r="AO76" s="13" t="n">
        <v>0</v>
      </c>
      <c r="AP76" s="13">
        <f>AN76+AO76</f>
        <v/>
      </c>
      <c r="AQ76" s="13">
        <f>AP76*G76</f>
        <v/>
      </c>
    </row>
    <row r="77" ht="10.25" customFormat="1" customHeight="1" s="9">
      <c r="B77" s="52" t="n"/>
      <c r="C77" s="52" t="n"/>
      <c r="D77" s="69" t="n"/>
      <c r="E77" s="52" t="n"/>
      <c r="F77" s="52" t="n"/>
      <c r="G77" s="70" t="n"/>
      <c r="H77" s="55" t="n"/>
      <c r="I77" s="56" t="n"/>
      <c r="J77" s="57" t="n"/>
      <c r="K77" s="58" t="n"/>
      <c r="L77" s="56" t="n"/>
      <c r="M77" s="59" t="n"/>
      <c r="N77" s="60" t="n"/>
      <c r="O77" s="60" t="n"/>
      <c r="P77" s="61" t="n"/>
      <c r="Q77" s="52" t="n"/>
      <c r="R77" s="52" t="n"/>
      <c r="S77" s="52" t="n"/>
      <c r="T77" s="52">
        <f>VLOOKUP(S77,'[1]COUNTRY LIST2'!$B$2:$G$254,2,0)</f>
        <v/>
      </c>
      <c r="U77" s="52">
        <f>VLOOKUP(S77,'[1]COUNTRY LIST2'!$B$2:$G$254,3,0)</f>
        <v/>
      </c>
      <c r="V77" s="52">
        <f>VLOOKUP(S77,'[1]COUNTRY LIST2'!$B$2:$G$254,6,0)</f>
        <v/>
      </c>
      <c r="W77" s="52">
        <f>VLOOKUP(S77,'[1]COUNTRY LIST2'!$B$2:$G$254,5,0)</f>
        <v/>
      </c>
      <c r="X77" s="52" t="n"/>
      <c r="Y77" s="62" t="n"/>
      <c r="Z77" s="63">
        <f>VLOOKUP(Y77,[1]OTH!A:B,2,0)</f>
        <v/>
      </c>
      <c r="AB77" s="63">
        <f>VLOOKUP(Y77,[1]OTH!$A$1:$C$22,3,0)</f>
        <v/>
      </c>
      <c r="AF77" s="64">
        <f>G77*H77</f>
        <v/>
      </c>
      <c r="AI77" s="65" t="n"/>
      <c r="AJ77" s="66">
        <f>ROUND(I77,2)</f>
        <v/>
      </c>
      <c r="AK77" s="40" t="inlineStr">
        <is>
          <t>x</t>
        </is>
      </c>
      <c r="AL77" s="67" t="n"/>
      <c r="AM77" s="40" t="inlineStr">
        <is>
          <t>x</t>
        </is>
      </c>
      <c r="AN77" s="13" t="n">
        <v>0</v>
      </c>
      <c r="AO77" s="13" t="n">
        <v>0</v>
      </c>
      <c r="AP77" s="13">
        <f>AN77+AO77</f>
        <v/>
      </c>
      <c r="AQ77" s="13">
        <f>AP77*G77</f>
        <v/>
      </c>
    </row>
    <row r="78" ht="10.25" customFormat="1" customHeight="1" s="9">
      <c r="B78" s="52" t="n"/>
      <c r="C78" s="52" t="n"/>
      <c r="D78" s="69" t="n"/>
      <c r="E78" s="52" t="n"/>
      <c r="F78" s="52" t="n"/>
      <c r="G78" s="70" t="n"/>
      <c r="H78" s="55" t="n"/>
      <c r="I78" s="56" t="n"/>
      <c r="J78" s="57" t="n"/>
      <c r="K78" s="58" t="n"/>
      <c r="L78" s="56" t="n"/>
      <c r="M78" s="59" t="n"/>
      <c r="N78" s="60" t="n"/>
      <c r="O78" s="60" t="n"/>
      <c r="P78" s="61" t="n"/>
      <c r="Q78" s="52" t="n"/>
      <c r="R78" s="52" t="n"/>
      <c r="S78" s="52" t="n"/>
      <c r="T78" s="52">
        <f>VLOOKUP(S78,'[1]COUNTRY LIST2'!$B$2:$G$254,2,0)</f>
        <v/>
      </c>
      <c r="U78" s="52">
        <f>VLOOKUP(S78,'[1]COUNTRY LIST2'!$B$2:$G$254,3,0)</f>
        <v/>
      </c>
      <c r="V78" s="52">
        <f>VLOOKUP(S78,'[1]COUNTRY LIST2'!$B$2:$G$254,6,0)</f>
        <v/>
      </c>
      <c r="W78" s="52">
        <f>VLOOKUP(S78,'[1]COUNTRY LIST2'!$B$2:$G$254,5,0)</f>
        <v/>
      </c>
      <c r="X78" s="52" t="n"/>
      <c r="Y78" s="62" t="n"/>
      <c r="Z78" s="63">
        <f>VLOOKUP(Y78,[1]OTH!A:B,2,0)</f>
        <v/>
      </c>
      <c r="AB78" s="63">
        <f>VLOOKUP(Y78,[1]OTH!$A$1:$C$22,3,0)</f>
        <v/>
      </c>
      <c r="AF78" s="64">
        <f>G78*H78</f>
        <v/>
      </c>
      <c r="AI78" s="65" t="n"/>
      <c r="AJ78" s="66">
        <f>ROUND(I78,2)</f>
        <v/>
      </c>
      <c r="AK78" s="40" t="inlineStr">
        <is>
          <t>x</t>
        </is>
      </c>
      <c r="AL78" s="67" t="n"/>
      <c r="AM78" s="40" t="inlineStr">
        <is>
          <t>x</t>
        </is>
      </c>
      <c r="AN78" s="13" t="n">
        <v>0</v>
      </c>
      <c r="AO78" s="13" t="n">
        <v>0</v>
      </c>
      <c r="AP78" s="13">
        <f>AN78+AO78</f>
        <v/>
      </c>
      <c r="AQ78" s="13">
        <f>AP78*G78</f>
        <v/>
      </c>
    </row>
    <row r="79" ht="10.25" customFormat="1" customHeight="1" s="9">
      <c r="B79" s="52" t="n"/>
      <c r="C79" s="52" t="n"/>
      <c r="D79" s="69" t="n"/>
      <c r="E79" s="52" t="n"/>
      <c r="F79" s="52" t="n"/>
      <c r="G79" s="54" t="n"/>
      <c r="H79" s="55" t="n"/>
      <c r="I79" s="56" t="n"/>
      <c r="J79" s="57" t="n"/>
      <c r="K79" s="58" t="n"/>
      <c r="L79" s="56" t="n"/>
      <c r="M79" s="59" t="n"/>
      <c r="N79" s="60" t="n"/>
      <c r="O79" s="60" t="n"/>
      <c r="P79" s="61" t="n"/>
      <c r="Q79" s="52" t="n"/>
      <c r="R79" s="52" t="n"/>
      <c r="S79" s="52" t="n"/>
      <c r="T79" s="52">
        <f>VLOOKUP(S79,'[1]COUNTRY LIST2'!$B$2:$G$254,2,0)</f>
        <v/>
      </c>
      <c r="U79" s="52">
        <f>VLOOKUP(S79,'[1]COUNTRY LIST2'!$B$2:$G$254,3,0)</f>
        <v/>
      </c>
      <c r="V79" s="52">
        <f>VLOOKUP(S79,'[1]COUNTRY LIST2'!$B$2:$G$254,6,0)</f>
        <v/>
      </c>
      <c r="W79" s="52">
        <f>VLOOKUP(S79,'[1]COUNTRY LIST2'!$B$2:$G$254,5,0)</f>
        <v/>
      </c>
      <c r="X79" s="52" t="n"/>
      <c r="Y79" s="62" t="n"/>
      <c r="Z79" s="63">
        <f>VLOOKUP(Y79,[1]OTH!A:B,2,0)</f>
        <v/>
      </c>
      <c r="AB79" s="63">
        <f>VLOOKUP(Y79,[1]OTH!$A$1:$C$22,3,0)</f>
        <v/>
      </c>
      <c r="AF79" s="64">
        <f>G79*H79</f>
        <v/>
      </c>
      <c r="AI79" s="65" t="n"/>
      <c r="AJ79" s="66">
        <f>ROUND(I79,2)</f>
        <v/>
      </c>
      <c r="AK79" s="40" t="inlineStr">
        <is>
          <t>x</t>
        </is>
      </c>
      <c r="AL79" s="67" t="n"/>
      <c r="AM79" s="40" t="inlineStr">
        <is>
          <t>x</t>
        </is>
      </c>
      <c r="AN79" s="13" t="n">
        <v>0</v>
      </c>
      <c r="AO79" s="13" t="n">
        <v>0</v>
      </c>
      <c r="AP79" s="13">
        <f>AN79+AO79</f>
        <v/>
      </c>
      <c r="AQ79" s="13">
        <f>AP79*G79</f>
        <v/>
      </c>
    </row>
    <row r="80" ht="10.25" customFormat="1" customHeight="1" s="9">
      <c r="B80" s="52" t="n"/>
      <c r="C80" s="52" t="n"/>
      <c r="D80" s="69" t="n"/>
      <c r="E80" s="52" t="n"/>
      <c r="F80" s="52" t="n"/>
      <c r="G80" s="54" t="n"/>
      <c r="H80" s="55" t="n"/>
      <c r="I80" s="56" t="n"/>
      <c r="J80" s="57" t="n"/>
      <c r="K80" s="58" t="n"/>
      <c r="L80" s="56" t="n"/>
      <c r="M80" s="59" t="n"/>
      <c r="N80" s="60" t="n"/>
      <c r="O80" s="60" t="n"/>
      <c r="P80" s="61" t="n"/>
      <c r="Q80" s="52" t="n"/>
      <c r="R80" s="52" t="n"/>
      <c r="S80" s="52" t="n"/>
      <c r="T80" s="52">
        <f>VLOOKUP(S80,'[1]COUNTRY LIST2'!$B$2:$G$254,2,0)</f>
        <v/>
      </c>
      <c r="U80" s="52">
        <f>VLOOKUP(S80,'[1]COUNTRY LIST2'!$B$2:$G$254,3,0)</f>
        <v/>
      </c>
      <c r="V80" s="52">
        <f>VLOOKUP(S80,'[1]COUNTRY LIST2'!$B$2:$G$254,6,0)</f>
        <v/>
      </c>
      <c r="W80" s="52">
        <f>VLOOKUP(S80,'[1]COUNTRY LIST2'!$B$2:$G$254,5,0)</f>
        <v/>
      </c>
      <c r="X80" s="52" t="n"/>
      <c r="Y80" s="62" t="n"/>
      <c r="Z80" s="63">
        <f>VLOOKUP(Y80,[1]OTH!A:B,2,0)</f>
        <v/>
      </c>
      <c r="AB80" s="63">
        <f>VLOOKUP(Y80,[1]OTH!$A$1:$C$22,3,0)</f>
        <v/>
      </c>
      <c r="AF80" s="64">
        <f>G80*H80</f>
        <v/>
      </c>
      <c r="AI80" s="65" t="n"/>
      <c r="AJ80" s="66">
        <f>ROUND(I80,2)</f>
        <v/>
      </c>
      <c r="AK80" s="40" t="inlineStr">
        <is>
          <t>x</t>
        </is>
      </c>
      <c r="AL80" s="67" t="n"/>
      <c r="AM80" s="40" t="inlineStr">
        <is>
          <t>x</t>
        </is>
      </c>
      <c r="AN80" s="13" t="n">
        <v>0</v>
      </c>
      <c r="AO80" s="13" t="n">
        <v>0</v>
      </c>
      <c r="AP80" s="13">
        <f>AN80+AO80</f>
        <v/>
      </c>
      <c r="AQ80" s="13">
        <f>AP80*G80</f>
        <v/>
      </c>
    </row>
    <row r="81" ht="10.25" customFormat="1" customHeight="1" s="9">
      <c r="B81" s="52" t="n"/>
      <c r="C81" s="52" t="n"/>
      <c r="D81" s="69" t="n"/>
      <c r="E81" s="52" t="n"/>
      <c r="F81" s="52" t="n"/>
      <c r="G81" s="54" t="n"/>
      <c r="H81" s="55" t="n"/>
      <c r="I81" s="56" t="n"/>
      <c r="J81" s="57" t="n"/>
      <c r="K81" s="58" t="n"/>
      <c r="L81" s="56" t="n"/>
      <c r="M81" s="59" t="n"/>
      <c r="N81" s="60" t="n"/>
      <c r="O81" s="60" t="n"/>
      <c r="P81" s="61" t="n"/>
      <c r="Q81" s="52" t="n"/>
      <c r="R81" s="52" t="n"/>
      <c r="S81" s="52" t="n"/>
      <c r="T81" s="52">
        <f>VLOOKUP(S81,'[1]COUNTRY LIST2'!$B$2:$G$254,2,0)</f>
        <v/>
      </c>
      <c r="U81" s="52">
        <f>VLOOKUP(S81,'[1]COUNTRY LIST2'!$B$2:$G$254,3,0)</f>
        <v/>
      </c>
      <c r="V81" s="52">
        <f>VLOOKUP(S81,'[1]COUNTRY LIST2'!$B$2:$G$254,6,0)</f>
        <v/>
      </c>
      <c r="W81" s="52">
        <f>VLOOKUP(S81,'[1]COUNTRY LIST2'!$B$2:$G$254,5,0)</f>
        <v/>
      </c>
      <c r="X81" s="52" t="n"/>
      <c r="Y81" s="62" t="n"/>
      <c r="Z81" s="63">
        <f>VLOOKUP(Y81,[1]OTH!A:B,2,0)</f>
        <v/>
      </c>
      <c r="AB81" s="63">
        <f>VLOOKUP(Y81,[1]OTH!$A$1:$C$22,3,0)</f>
        <v/>
      </c>
      <c r="AF81" s="64">
        <f>G81*H81</f>
        <v/>
      </c>
      <c r="AI81" s="65" t="n"/>
      <c r="AJ81" s="66">
        <f>ROUND(I81,2)</f>
        <v/>
      </c>
      <c r="AK81" s="40" t="inlineStr">
        <is>
          <t>x</t>
        </is>
      </c>
      <c r="AL81" s="67" t="n"/>
      <c r="AM81" s="40" t="inlineStr">
        <is>
          <t>x</t>
        </is>
      </c>
      <c r="AN81" s="13" t="n">
        <v>0</v>
      </c>
      <c r="AO81" s="13" t="n">
        <v>0</v>
      </c>
      <c r="AP81" s="13">
        <f>AN81+AO81</f>
        <v/>
      </c>
      <c r="AQ81" s="13">
        <f>AP81*G81</f>
        <v/>
      </c>
    </row>
    <row r="82" ht="10.25" customFormat="1" customHeight="1" s="9">
      <c r="B82" s="52" t="n"/>
      <c r="C82" s="52" t="n"/>
      <c r="D82" s="69" t="n"/>
      <c r="E82" s="52" t="n"/>
      <c r="F82" s="52" t="n"/>
      <c r="G82" s="54" t="n"/>
      <c r="H82" s="55" t="n"/>
      <c r="I82" s="56" t="n"/>
      <c r="J82" s="57" t="n"/>
      <c r="K82" s="58" t="n"/>
      <c r="L82" s="56" t="n"/>
      <c r="M82" s="59" t="n"/>
      <c r="N82" s="60" t="n"/>
      <c r="O82" s="60" t="n"/>
      <c r="P82" s="61" t="n"/>
      <c r="Q82" s="52" t="n"/>
      <c r="R82" s="52" t="n"/>
      <c r="S82" s="52" t="n"/>
      <c r="T82" s="52">
        <f>VLOOKUP(S82,'[1]COUNTRY LIST2'!$B$2:$G$254,2,0)</f>
        <v/>
      </c>
      <c r="U82" s="52">
        <f>VLOOKUP(S82,'[1]COUNTRY LIST2'!$B$2:$G$254,3,0)</f>
        <v/>
      </c>
      <c r="V82" s="52">
        <f>VLOOKUP(S82,'[1]COUNTRY LIST2'!$B$2:$G$254,6,0)</f>
        <v/>
      </c>
      <c r="W82" s="52">
        <f>VLOOKUP(S82,'[1]COUNTRY LIST2'!$B$2:$G$254,5,0)</f>
        <v/>
      </c>
      <c r="X82" s="52" t="n"/>
      <c r="Y82" s="62" t="n"/>
      <c r="Z82" s="63">
        <f>VLOOKUP(Y82,[1]OTH!A:B,2,0)</f>
        <v/>
      </c>
      <c r="AB82" s="63">
        <f>VLOOKUP(Y82,[1]OTH!$A$1:$C$22,3,0)</f>
        <v/>
      </c>
      <c r="AF82" s="64">
        <f>G82*H82</f>
        <v/>
      </c>
      <c r="AI82" s="65" t="n"/>
      <c r="AJ82" s="66">
        <f>ROUND(I82,2)</f>
        <v/>
      </c>
      <c r="AK82" s="40" t="inlineStr">
        <is>
          <t>x</t>
        </is>
      </c>
      <c r="AL82" s="67" t="n"/>
      <c r="AM82" s="40" t="inlineStr">
        <is>
          <t>x</t>
        </is>
      </c>
      <c r="AN82" s="13" t="n">
        <v>0</v>
      </c>
      <c r="AO82" s="13" t="n">
        <v>0</v>
      </c>
      <c r="AP82" s="13">
        <f>AN82+AO82</f>
        <v/>
      </c>
      <c r="AQ82" s="13">
        <f>AP82*G82</f>
        <v/>
      </c>
    </row>
    <row r="83" ht="10.25" customFormat="1" customHeight="1" s="9">
      <c r="B83" s="52" t="n"/>
      <c r="C83" s="52" t="n"/>
      <c r="D83" s="69" t="n"/>
      <c r="E83" s="52" t="n"/>
      <c r="F83" s="52" t="n"/>
      <c r="G83" s="54" t="n"/>
      <c r="H83" s="55" t="n"/>
      <c r="I83" s="56" t="n"/>
      <c r="J83" s="57" t="n"/>
      <c r="K83" s="58" t="n"/>
      <c r="L83" s="56" t="n"/>
      <c r="M83" s="59" t="n"/>
      <c r="N83" s="60" t="n"/>
      <c r="O83" s="60" t="n"/>
      <c r="P83" s="61" t="n"/>
      <c r="Q83" s="52" t="n"/>
      <c r="R83" s="52" t="n"/>
      <c r="S83" s="52" t="n"/>
      <c r="T83" s="52">
        <f>VLOOKUP(S83,'[1]COUNTRY LIST2'!$B$2:$G$254,2,0)</f>
        <v/>
      </c>
      <c r="U83" s="52">
        <f>VLOOKUP(S83,'[1]COUNTRY LIST2'!$B$2:$G$254,3,0)</f>
        <v/>
      </c>
      <c r="V83" s="52">
        <f>VLOOKUP(S83,'[1]COUNTRY LIST2'!$B$2:$G$254,6,0)</f>
        <v/>
      </c>
      <c r="W83" s="52">
        <f>VLOOKUP(S83,'[1]COUNTRY LIST2'!$B$2:$G$254,5,0)</f>
        <v/>
      </c>
      <c r="X83" s="52" t="n"/>
      <c r="Y83" s="62" t="n"/>
      <c r="Z83" s="63">
        <f>VLOOKUP(Y83,[1]OTH!A:B,2,0)</f>
        <v/>
      </c>
      <c r="AB83" s="63">
        <f>VLOOKUP(Y83,[1]OTH!$A$1:$C$22,3,0)</f>
        <v/>
      </c>
      <c r="AF83" s="64">
        <f>G83*H83</f>
        <v/>
      </c>
      <c r="AI83" s="65" t="n"/>
      <c r="AJ83" s="66">
        <f>ROUND(I83,2)</f>
        <v/>
      </c>
      <c r="AK83" s="40" t="inlineStr">
        <is>
          <t>x</t>
        </is>
      </c>
      <c r="AL83" s="67" t="n"/>
      <c r="AM83" s="40" t="inlineStr">
        <is>
          <t>x</t>
        </is>
      </c>
      <c r="AN83" s="13" t="n">
        <v>0</v>
      </c>
      <c r="AO83" s="13" t="n">
        <v>0</v>
      </c>
      <c r="AP83" s="13">
        <f>AN83+AO83</f>
        <v/>
      </c>
      <c r="AQ83" s="13">
        <f>AP83*G83</f>
        <v/>
      </c>
    </row>
    <row r="84" ht="10.25" customFormat="1" customHeight="1" s="9">
      <c r="B84" s="52" t="n"/>
      <c r="C84" s="52" t="n"/>
      <c r="D84" s="69" t="n"/>
      <c r="E84" s="52" t="n"/>
      <c r="F84" s="52" t="n"/>
      <c r="G84" s="54" t="n"/>
      <c r="H84" s="55" t="n"/>
      <c r="I84" s="56" t="n"/>
      <c r="J84" s="57" t="n"/>
      <c r="K84" s="58" t="n"/>
      <c r="L84" s="56" t="n"/>
      <c r="M84" s="59" t="n"/>
      <c r="N84" s="60" t="n"/>
      <c r="O84" s="60" t="n"/>
      <c r="P84" s="61" t="n"/>
      <c r="Q84" s="52" t="n"/>
      <c r="R84" s="52" t="n"/>
      <c r="S84" s="52" t="n"/>
      <c r="T84" s="52">
        <f>VLOOKUP(S84,'[1]COUNTRY LIST2'!$B$2:$G$254,2,0)</f>
        <v/>
      </c>
      <c r="U84" s="52">
        <f>VLOOKUP(S84,'[1]COUNTRY LIST2'!$B$2:$G$254,3,0)</f>
        <v/>
      </c>
      <c r="V84" s="52">
        <f>VLOOKUP(S84,'[1]COUNTRY LIST2'!$B$2:$G$254,6,0)</f>
        <v/>
      </c>
      <c r="W84" s="52">
        <f>VLOOKUP(S84,'[1]COUNTRY LIST2'!$B$2:$G$254,5,0)</f>
        <v/>
      </c>
      <c r="X84" s="52" t="n"/>
      <c r="Y84" s="62" t="n"/>
      <c r="Z84" s="63">
        <f>VLOOKUP(Y84,[1]OTH!A:B,2,0)</f>
        <v/>
      </c>
      <c r="AB84" s="63">
        <f>VLOOKUP(Y84,[1]OTH!$A$1:$C$22,3,0)</f>
        <v/>
      </c>
      <c r="AF84" s="64">
        <f>G84*H84</f>
        <v/>
      </c>
      <c r="AI84" s="65" t="n"/>
      <c r="AJ84" s="66">
        <f>ROUND(I84,2)</f>
        <v/>
      </c>
      <c r="AK84" s="40" t="inlineStr">
        <is>
          <t>x</t>
        </is>
      </c>
      <c r="AL84" s="67" t="n"/>
      <c r="AM84" s="40" t="inlineStr">
        <is>
          <t>x</t>
        </is>
      </c>
      <c r="AN84" s="13" t="n">
        <v>0</v>
      </c>
      <c r="AO84" s="13" t="n">
        <v>0</v>
      </c>
      <c r="AP84" s="13">
        <f>AN84+AO84</f>
        <v/>
      </c>
      <c r="AQ84" s="13">
        <f>AP84*G84</f>
        <v/>
      </c>
    </row>
    <row r="85" ht="10.25" customFormat="1" customHeight="1" s="9">
      <c r="B85" s="52" t="n"/>
      <c r="C85" s="52" t="n"/>
      <c r="D85" s="69" t="n"/>
      <c r="E85" s="52" t="n"/>
      <c r="F85" s="52" t="n"/>
      <c r="G85" s="54" t="n"/>
      <c r="H85" s="55" t="n"/>
      <c r="I85" s="56" t="n"/>
      <c r="J85" s="57" t="n"/>
      <c r="K85" s="58" t="n"/>
      <c r="L85" s="56" t="n"/>
      <c r="M85" s="59" t="n"/>
      <c r="N85" s="60" t="n"/>
      <c r="O85" s="60" t="n"/>
      <c r="P85" s="61" t="n"/>
      <c r="Q85" s="52" t="n"/>
      <c r="R85" s="52" t="n"/>
      <c r="S85" s="52" t="n"/>
      <c r="T85" s="52">
        <f>VLOOKUP(S85,'[1]COUNTRY LIST2'!$B$2:$G$254,2,0)</f>
        <v/>
      </c>
      <c r="U85" s="52">
        <f>VLOOKUP(S85,'[1]COUNTRY LIST2'!$B$2:$G$254,3,0)</f>
        <v/>
      </c>
      <c r="V85" s="52">
        <f>VLOOKUP(S85,'[1]COUNTRY LIST2'!$B$2:$G$254,6,0)</f>
        <v/>
      </c>
      <c r="W85" s="52">
        <f>VLOOKUP(S85,'[1]COUNTRY LIST2'!$B$2:$G$254,5,0)</f>
        <v/>
      </c>
      <c r="X85" s="52" t="n"/>
      <c r="Y85" s="62" t="n"/>
      <c r="Z85" s="63">
        <f>VLOOKUP(Y85,[1]OTH!A:B,2,0)</f>
        <v/>
      </c>
      <c r="AB85" s="63">
        <f>VLOOKUP(Y85,[1]OTH!$A$1:$C$22,3,0)</f>
        <v/>
      </c>
      <c r="AF85" s="64">
        <f>G85*H85</f>
        <v/>
      </c>
      <c r="AI85" s="65" t="n"/>
      <c r="AJ85" s="66">
        <f>ROUND(I85,2)</f>
        <v/>
      </c>
      <c r="AK85" s="40" t="inlineStr">
        <is>
          <t>x</t>
        </is>
      </c>
      <c r="AL85" s="67" t="n"/>
      <c r="AM85" s="40" t="inlineStr">
        <is>
          <t>x</t>
        </is>
      </c>
      <c r="AN85" s="13" t="n">
        <v>0</v>
      </c>
      <c r="AO85" s="13" t="n">
        <v>0</v>
      </c>
      <c r="AP85" s="13">
        <f>AN85+AO85</f>
        <v/>
      </c>
      <c r="AQ85" s="13">
        <f>AP85*G85</f>
        <v/>
      </c>
    </row>
    <row r="86" ht="10.25" customFormat="1" customHeight="1" s="9">
      <c r="B86" s="52" t="n"/>
      <c r="C86" s="52" t="n"/>
      <c r="D86" s="69" t="n"/>
      <c r="E86" s="52" t="n"/>
      <c r="F86" s="52" t="n"/>
      <c r="G86" s="54" t="n"/>
      <c r="H86" s="55" t="n"/>
      <c r="I86" s="56" t="n"/>
      <c r="J86" s="57" t="n"/>
      <c r="K86" s="58" t="n"/>
      <c r="L86" s="56" t="n"/>
      <c r="M86" s="59" t="n"/>
      <c r="N86" s="60" t="n"/>
      <c r="O86" s="60" t="n"/>
      <c r="P86" s="61" t="n"/>
      <c r="Q86" s="52" t="n"/>
      <c r="R86" s="52" t="n"/>
      <c r="S86" s="52" t="n"/>
      <c r="T86" s="52">
        <f>VLOOKUP(S86,'[1]COUNTRY LIST2'!$B$2:$G$254,2,0)</f>
        <v/>
      </c>
      <c r="U86" s="52">
        <f>VLOOKUP(S86,'[1]COUNTRY LIST2'!$B$2:$G$254,3,0)</f>
        <v/>
      </c>
      <c r="V86" s="52">
        <f>VLOOKUP(S86,'[1]COUNTRY LIST2'!$B$2:$G$254,6,0)</f>
        <v/>
      </c>
      <c r="W86" s="52">
        <f>VLOOKUP(S86,'[1]COUNTRY LIST2'!$B$2:$G$254,5,0)</f>
        <v/>
      </c>
      <c r="X86" s="52" t="n"/>
      <c r="Y86" s="62" t="n"/>
      <c r="Z86" s="63">
        <f>VLOOKUP(Y86,[1]OTH!A:B,2,0)</f>
        <v/>
      </c>
      <c r="AB86" s="63">
        <f>VLOOKUP(Y86,[1]OTH!$A$1:$C$22,3,0)</f>
        <v/>
      </c>
      <c r="AF86" s="64">
        <f>G86*H86</f>
        <v/>
      </c>
      <c r="AI86" s="65" t="n"/>
      <c r="AJ86" s="66">
        <f>ROUND(I86,2)</f>
        <v/>
      </c>
      <c r="AK86" s="40" t="inlineStr">
        <is>
          <t>x</t>
        </is>
      </c>
      <c r="AL86" s="67" t="n"/>
      <c r="AM86" s="40" t="inlineStr">
        <is>
          <t>x</t>
        </is>
      </c>
      <c r="AN86" s="13" t="n">
        <v>0</v>
      </c>
      <c r="AO86" s="13" t="n">
        <v>0</v>
      </c>
      <c r="AP86" s="13">
        <f>AN86+AO86</f>
        <v/>
      </c>
      <c r="AQ86" s="13">
        <f>AP86*G86</f>
        <v/>
      </c>
    </row>
    <row r="87" ht="10.25" customFormat="1" customHeight="1" s="9">
      <c r="B87" s="52" t="n"/>
      <c r="C87" s="52" t="n"/>
      <c r="D87" s="69" t="n"/>
      <c r="E87" s="52" t="n"/>
      <c r="F87" s="52" t="n"/>
      <c r="G87" s="54" t="n"/>
      <c r="H87" s="55" t="n"/>
      <c r="I87" s="56" t="n"/>
      <c r="J87" s="57" t="n"/>
      <c r="K87" s="58" t="n"/>
      <c r="L87" s="56" t="n"/>
      <c r="M87" s="59" t="n"/>
      <c r="N87" s="60" t="n"/>
      <c r="O87" s="60" t="n"/>
      <c r="P87" s="61" t="n"/>
      <c r="Q87" s="52" t="n"/>
      <c r="R87" s="52" t="n"/>
      <c r="S87" s="52" t="n"/>
      <c r="T87" s="52">
        <f>VLOOKUP(S87,'[1]COUNTRY LIST2'!$B$2:$G$254,2,0)</f>
        <v/>
      </c>
      <c r="U87" s="52">
        <f>VLOOKUP(S87,'[1]COUNTRY LIST2'!$B$2:$G$254,3,0)</f>
        <v/>
      </c>
      <c r="V87" s="52">
        <f>VLOOKUP(S87,'[1]COUNTRY LIST2'!$B$2:$G$254,6,0)</f>
        <v/>
      </c>
      <c r="W87" s="52">
        <f>VLOOKUP(S87,'[1]COUNTRY LIST2'!$B$2:$G$254,5,0)</f>
        <v/>
      </c>
      <c r="X87" s="52" t="n"/>
      <c r="Y87" s="62" t="n"/>
      <c r="Z87" s="63">
        <f>VLOOKUP(Y87,[1]OTH!A:B,2,0)</f>
        <v/>
      </c>
      <c r="AB87" s="63">
        <f>VLOOKUP(Y87,[1]OTH!$A$1:$C$22,3,0)</f>
        <v/>
      </c>
      <c r="AF87" s="64">
        <f>G87*H87</f>
        <v/>
      </c>
      <c r="AI87" s="65" t="n"/>
      <c r="AJ87" s="66">
        <f>ROUND(I87,2)</f>
        <v/>
      </c>
      <c r="AK87" s="40" t="inlineStr">
        <is>
          <t>x</t>
        </is>
      </c>
      <c r="AL87" s="67" t="n"/>
      <c r="AM87" s="40" t="inlineStr">
        <is>
          <t>x</t>
        </is>
      </c>
      <c r="AN87" s="13" t="n">
        <v>0</v>
      </c>
      <c r="AO87" s="13" t="n">
        <v>0</v>
      </c>
      <c r="AP87" s="13">
        <f>AN87+AO87</f>
        <v/>
      </c>
      <c r="AQ87" s="13">
        <f>AP87*G87</f>
        <v/>
      </c>
    </row>
    <row r="88" ht="10.25" customFormat="1" customHeight="1" s="9">
      <c r="B88" s="52" t="n"/>
      <c r="C88" s="52" t="n"/>
      <c r="D88" s="69" t="n"/>
      <c r="E88" s="52" t="n"/>
      <c r="F88" s="52" t="n"/>
      <c r="G88" s="54" t="n"/>
      <c r="H88" s="55" t="n"/>
      <c r="I88" s="56" t="n"/>
      <c r="J88" s="57" t="n"/>
      <c r="K88" s="58" t="n"/>
      <c r="L88" s="56" t="n"/>
      <c r="M88" s="59" t="n"/>
      <c r="N88" s="60" t="n"/>
      <c r="O88" s="60" t="n"/>
      <c r="P88" s="61" t="n"/>
      <c r="Q88" s="52" t="n"/>
      <c r="R88" s="52" t="n"/>
      <c r="S88" s="52" t="n"/>
      <c r="T88" s="52">
        <f>VLOOKUP(S88,'[1]COUNTRY LIST2'!$B$2:$G$254,2,0)</f>
        <v/>
      </c>
      <c r="U88" s="52">
        <f>VLOOKUP(S88,'[1]COUNTRY LIST2'!$B$2:$G$254,3,0)</f>
        <v/>
      </c>
      <c r="V88" s="52">
        <f>VLOOKUP(S88,'[1]COUNTRY LIST2'!$B$2:$G$254,6,0)</f>
        <v/>
      </c>
      <c r="W88" s="52">
        <f>VLOOKUP(S88,'[1]COUNTRY LIST2'!$B$2:$G$254,5,0)</f>
        <v/>
      </c>
      <c r="X88" s="52" t="n"/>
      <c r="Y88" s="62" t="n"/>
      <c r="Z88" s="63">
        <f>VLOOKUP(Y88,[1]OTH!A:B,2,0)</f>
        <v/>
      </c>
      <c r="AB88" s="63">
        <f>VLOOKUP(Y88,[1]OTH!$A$1:$C$22,3,0)</f>
        <v/>
      </c>
      <c r="AF88" s="64">
        <f>G88*H88</f>
        <v/>
      </c>
      <c r="AI88" s="65" t="n"/>
      <c r="AJ88" s="66">
        <f>ROUND(I88,2)</f>
        <v/>
      </c>
      <c r="AK88" s="40" t="inlineStr">
        <is>
          <t>x</t>
        </is>
      </c>
      <c r="AL88" s="67" t="n"/>
      <c r="AM88" s="40" t="inlineStr">
        <is>
          <t>x</t>
        </is>
      </c>
      <c r="AN88" s="13" t="n">
        <v>0</v>
      </c>
      <c r="AO88" s="13" t="n">
        <v>0</v>
      </c>
      <c r="AP88" s="13">
        <f>AN88+AO88</f>
        <v/>
      </c>
      <c r="AQ88" s="13">
        <f>AP88*G88</f>
        <v/>
      </c>
    </row>
    <row r="89" ht="10.25" customFormat="1" customHeight="1" s="9">
      <c r="B89" s="52" t="n"/>
      <c r="C89" s="52" t="n"/>
      <c r="D89" s="69" t="n"/>
      <c r="E89" s="52" t="n"/>
      <c r="F89" s="52" t="n"/>
      <c r="G89" s="54" t="n"/>
      <c r="H89" s="55" t="n"/>
      <c r="I89" s="56" t="n"/>
      <c r="J89" s="57" t="n"/>
      <c r="K89" s="58" t="n"/>
      <c r="L89" s="56" t="n"/>
      <c r="M89" s="59" t="n"/>
      <c r="N89" s="60" t="n"/>
      <c r="O89" s="60" t="n"/>
      <c r="P89" s="61" t="n"/>
      <c r="Q89" s="52" t="n"/>
      <c r="R89" s="52" t="n"/>
      <c r="S89" s="52" t="n"/>
      <c r="T89" s="52">
        <f>VLOOKUP(S89,'[1]COUNTRY LIST2'!$B$2:$G$254,2,0)</f>
        <v/>
      </c>
      <c r="U89" s="52">
        <f>VLOOKUP(S89,'[1]COUNTRY LIST2'!$B$2:$G$254,3,0)</f>
        <v/>
      </c>
      <c r="V89" s="52">
        <f>VLOOKUP(S89,'[1]COUNTRY LIST2'!$B$2:$G$254,6,0)</f>
        <v/>
      </c>
      <c r="W89" s="52">
        <f>VLOOKUP(S89,'[1]COUNTRY LIST2'!$B$2:$G$254,5,0)</f>
        <v/>
      </c>
      <c r="X89" s="52" t="n"/>
      <c r="Y89" s="62" t="n"/>
      <c r="Z89" s="63">
        <f>VLOOKUP(Y89,[1]OTH!A:B,2,0)</f>
        <v/>
      </c>
      <c r="AB89" s="63">
        <f>VLOOKUP(Y89,[1]OTH!$A$1:$C$22,3,0)</f>
        <v/>
      </c>
      <c r="AF89" s="64">
        <f>G89*H89</f>
        <v/>
      </c>
      <c r="AI89" s="65" t="n"/>
      <c r="AJ89" s="66">
        <f>ROUND(I89,2)</f>
        <v/>
      </c>
      <c r="AK89" s="40" t="inlineStr">
        <is>
          <t>x</t>
        </is>
      </c>
      <c r="AL89" s="67" t="n"/>
      <c r="AM89" s="40" t="inlineStr">
        <is>
          <t>x</t>
        </is>
      </c>
      <c r="AN89" s="13" t="n">
        <v>0</v>
      </c>
      <c r="AO89" s="13" t="n">
        <v>0</v>
      </c>
      <c r="AP89" s="13">
        <f>AN89+AO89</f>
        <v/>
      </c>
      <c r="AQ89" s="13">
        <f>AP89*G89</f>
        <v/>
      </c>
    </row>
    <row r="90" ht="10.25" customFormat="1" customHeight="1" s="9">
      <c r="B90" s="52" t="n"/>
      <c r="C90" s="52" t="n"/>
      <c r="D90" s="69" t="n"/>
      <c r="E90" s="52" t="n"/>
      <c r="F90" s="52" t="n"/>
      <c r="G90" s="54" t="n"/>
      <c r="H90" s="55" t="n"/>
      <c r="I90" s="56" t="n"/>
      <c r="J90" s="57" t="n"/>
      <c r="K90" s="58" t="n"/>
      <c r="L90" s="56" t="n"/>
      <c r="M90" s="59" t="n"/>
      <c r="N90" s="60" t="n"/>
      <c r="O90" s="60" t="n"/>
      <c r="P90" s="61" t="n"/>
      <c r="Q90" s="52" t="n"/>
      <c r="R90" s="52" t="n"/>
      <c r="S90" s="52" t="n"/>
      <c r="T90" s="52">
        <f>VLOOKUP(S90,'[1]COUNTRY LIST2'!$B$2:$G$254,2,0)</f>
        <v/>
      </c>
      <c r="U90" s="52">
        <f>VLOOKUP(S90,'[1]COUNTRY LIST2'!$B$2:$G$254,3,0)</f>
        <v/>
      </c>
      <c r="V90" s="52">
        <f>VLOOKUP(S90,'[1]COUNTRY LIST2'!$B$2:$G$254,6,0)</f>
        <v/>
      </c>
      <c r="W90" s="52">
        <f>VLOOKUP(S90,'[1]COUNTRY LIST2'!$B$2:$G$254,5,0)</f>
        <v/>
      </c>
      <c r="X90" s="52" t="n"/>
      <c r="Y90" s="62" t="n"/>
      <c r="Z90" s="63">
        <f>VLOOKUP(Y90,[1]OTH!A:B,2,0)</f>
        <v/>
      </c>
      <c r="AB90" s="63">
        <f>VLOOKUP(Y90,[1]OTH!$A$1:$C$22,3,0)</f>
        <v/>
      </c>
      <c r="AF90" s="64">
        <f>G90*H90</f>
        <v/>
      </c>
      <c r="AI90" s="65" t="n"/>
      <c r="AJ90" s="66">
        <f>ROUND(I90,2)</f>
        <v/>
      </c>
      <c r="AK90" s="40" t="inlineStr">
        <is>
          <t>x</t>
        </is>
      </c>
      <c r="AL90" s="67" t="n"/>
      <c r="AM90" s="40" t="inlineStr">
        <is>
          <t>x</t>
        </is>
      </c>
      <c r="AN90" s="13" t="n">
        <v>0</v>
      </c>
      <c r="AO90" s="13" t="n">
        <v>0</v>
      </c>
      <c r="AP90" s="13">
        <f>AN90+AO90</f>
        <v/>
      </c>
      <c r="AQ90" s="13">
        <f>AP90*G90</f>
        <v/>
      </c>
    </row>
    <row r="91" ht="10.25" customFormat="1" customHeight="1" s="9">
      <c r="B91" s="52" t="n"/>
      <c r="C91" s="52" t="n"/>
      <c r="D91" s="69" t="n"/>
      <c r="E91" s="52" t="n"/>
      <c r="F91" s="52" t="n"/>
      <c r="G91" s="54" t="n"/>
      <c r="H91" s="55" t="n"/>
      <c r="I91" s="56" t="n"/>
      <c r="J91" s="57" t="n"/>
      <c r="K91" s="58" t="n"/>
      <c r="L91" s="56" t="n"/>
      <c r="M91" s="59" t="n"/>
      <c r="N91" s="60" t="n"/>
      <c r="O91" s="60" t="n"/>
      <c r="P91" s="61" t="n"/>
      <c r="Q91" s="52" t="n"/>
      <c r="R91" s="52" t="n"/>
      <c r="S91" s="52" t="n"/>
      <c r="T91" s="52">
        <f>VLOOKUP(S91,'[1]COUNTRY LIST2'!$B$2:$G$254,2,0)</f>
        <v/>
      </c>
      <c r="U91" s="52">
        <f>VLOOKUP(S91,'[1]COUNTRY LIST2'!$B$2:$G$254,3,0)</f>
        <v/>
      </c>
      <c r="V91" s="52">
        <f>VLOOKUP(S91,'[1]COUNTRY LIST2'!$B$2:$G$254,6,0)</f>
        <v/>
      </c>
      <c r="W91" s="52">
        <f>VLOOKUP(S91,'[1]COUNTRY LIST2'!$B$2:$G$254,5,0)</f>
        <v/>
      </c>
      <c r="X91" s="52" t="n"/>
      <c r="Y91" s="62" t="n"/>
      <c r="Z91" s="63">
        <f>VLOOKUP(Y91,[1]OTH!A:B,2,0)</f>
        <v/>
      </c>
      <c r="AB91" s="63">
        <f>VLOOKUP(Y91,[1]OTH!$A$1:$C$22,3,0)</f>
        <v/>
      </c>
      <c r="AF91" s="64">
        <f>G91*H91</f>
        <v/>
      </c>
      <c r="AI91" s="65" t="n"/>
      <c r="AJ91" s="66">
        <f>ROUND(I91,2)</f>
        <v/>
      </c>
      <c r="AK91" s="40" t="inlineStr">
        <is>
          <t>x</t>
        </is>
      </c>
      <c r="AL91" s="67" t="n"/>
      <c r="AM91" s="40" t="inlineStr">
        <is>
          <t>x</t>
        </is>
      </c>
      <c r="AN91" s="13" t="n">
        <v>0</v>
      </c>
      <c r="AO91" s="13" t="n">
        <v>0</v>
      </c>
      <c r="AP91" s="13">
        <f>AN91+AO91</f>
        <v/>
      </c>
      <c r="AQ91" s="13">
        <f>AP91*G91</f>
        <v/>
      </c>
    </row>
    <row r="92" ht="10.25" customFormat="1" customHeight="1" s="9">
      <c r="B92" s="52" t="n"/>
      <c r="C92" s="52" t="n"/>
      <c r="D92" s="69" t="n"/>
      <c r="E92" s="52" t="n"/>
      <c r="F92" s="52" t="n"/>
      <c r="G92" s="54" t="n"/>
      <c r="H92" s="55" t="n"/>
      <c r="I92" s="56" t="n"/>
      <c r="J92" s="57" t="n"/>
      <c r="K92" s="58" t="n"/>
      <c r="L92" s="56" t="n"/>
      <c r="M92" s="59" t="n"/>
      <c r="N92" s="60" t="n"/>
      <c r="O92" s="60" t="n"/>
      <c r="P92" s="61" t="n"/>
      <c r="Q92" s="52" t="n"/>
      <c r="R92" s="52" t="n"/>
      <c r="S92" s="52" t="n"/>
      <c r="T92" s="52">
        <f>VLOOKUP(S92,'[1]COUNTRY LIST2'!$B$2:$G$254,2,0)</f>
        <v/>
      </c>
      <c r="U92" s="52">
        <f>VLOOKUP(S92,'[1]COUNTRY LIST2'!$B$2:$G$254,3,0)</f>
        <v/>
      </c>
      <c r="V92" s="52">
        <f>VLOOKUP(S92,'[1]COUNTRY LIST2'!$B$2:$G$254,6,0)</f>
        <v/>
      </c>
      <c r="W92" s="52">
        <f>VLOOKUP(S92,'[1]COUNTRY LIST2'!$B$2:$G$254,5,0)</f>
        <v/>
      </c>
      <c r="X92" s="52" t="n"/>
      <c r="Y92" s="62" t="n"/>
      <c r="Z92" s="63">
        <f>VLOOKUP(Y92,[1]OTH!A:B,2,0)</f>
        <v/>
      </c>
      <c r="AB92" s="63">
        <f>VLOOKUP(Y92,[1]OTH!$A$1:$C$22,3,0)</f>
        <v/>
      </c>
      <c r="AF92" s="64">
        <f>G92*H92</f>
        <v/>
      </c>
      <c r="AI92" s="65" t="n"/>
      <c r="AJ92" s="66">
        <f>ROUND(I92,2)</f>
        <v/>
      </c>
      <c r="AK92" s="40" t="inlineStr">
        <is>
          <t>x</t>
        </is>
      </c>
      <c r="AL92" s="67" t="n"/>
      <c r="AM92" s="40" t="inlineStr">
        <is>
          <t>x</t>
        </is>
      </c>
      <c r="AN92" s="13" t="n">
        <v>0</v>
      </c>
      <c r="AO92" s="13" t="n">
        <v>0</v>
      </c>
      <c r="AP92" s="13">
        <f>AN92+AO92</f>
        <v/>
      </c>
      <c r="AQ92" s="13">
        <f>AP92*G92</f>
        <v/>
      </c>
    </row>
    <row r="93" ht="10.25" customFormat="1" customHeight="1" s="9">
      <c r="B93" s="52" t="n"/>
      <c r="C93" s="52" t="n"/>
      <c r="D93" s="69" t="n"/>
      <c r="E93" s="52" t="n"/>
      <c r="F93" s="52" t="n"/>
      <c r="G93" s="54" t="n"/>
      <c r="H93" s="55" t="n"/>
      <c r="I93" s="56" t="n"/>
      <c r="J93" s="57" t="n"/>
      <c r="K93" s="58" t="n"/>
      <c r="L93" s="56" t="n"/>
      <c r="M93" s="59" t="n"/>
      <c r="N93" s="60" t="n"/>
      <c r="O93" s="60" t="n"/>
      <c r="P93" s="61" t="n"/>
      <c r="Q93" s="52" t="n"/>
      <c r="R93" s="52" t="n"/>
      <c r="S93" s="52" t="n"/>
      <c r="T93" s="52">
        <f>VLOOKUP(S93,'[1]COUNTRY LIST2'!$B$2:$G$254,2,0)</f>
        <v/>
      </c>
      <c r="U93" s="52">
        <f>VLOOKUP(S93,'[1]COUNTRY LIST2'!$B$2:$G$254,3,0)</f>
        <v/>
      </c>
      <c r="V93" s="52">
        <f>VLOOKUP(S93,'[1]COUNTRY LIST2'!$B$2:$G$254,6,0)</f>
        <v/>
      </c>
      <c r="W93" s="52">
        <f>VLOOKUP(S93,'[1]COUNTRY LIST2'!$B$2:$G$254,5,0)</f>
        <v/>
      </c>
      <c r="X93" s="52" t="n"/>
      <c r="Y93" s="62" t="n"/>
      <c r="Z93" s="63">
        <f>VLOOKUP(Y93,[1]OTH!A:B,2,0)</f>
        <v/>
      </c>
      <c r="AB93" s="63">
        <f>VLOOKUP(Y93,[1]OTH!$A$1:$C$22,3,0)</f>
        <v/>
      </c>
      <c r="AF93" s="64">
        <f>G93*H93</f>
        <v/>
      </c>
      <c r="AI93" s="65" t="n"/>
      <c r="AJ93" s="66">
        <f>ROUND(I93,2)</f>
        <v/>
      </c>
      <c r="AK93" s="40" t="inlineStr">
        <is>
          <t>x</t>
        </is>
      </c>
      <c r="AL93" s="67" t="n"/>
      <c r="AM93" s="40" t="inlineStr">
        <is>
          <t>x</t>
        </is>
      </c>
      <c r="AN93" s="13" t="n">
        <v>0</v>
      </c>
      <c r="AO93" s="13" t="n">
        <v>0</v>
      </c>
      <c r="AP93" s="13">
        <f>AN93+AO93</f>
        <v/>
      </c>
      <c r="AQ93" s="13">
        <f>AP93*G93</f>
        <v/>
      </c>
    </row>
    <row r="94" ht="10.25" customFormat="1" customHeight="1" s="9">
      <c r="B94" s="52" t="n"/>
      <c r="C94" s="52" t="n"/>
      <c r="D94" s="69" t="n"/>
      <c r="E94" s="52" t="n"/>
      <c r="F94" s="52" t="n"/>
      <c r="G94" s="54" t="n"/>
      <c r="H94" s="55" t="n"/>
      <c r="I94" s="56" t="n"/>
      <c r="J94" s="57" t="n"/>
      <c r="K94" s="58" t="n"/>
      <c r="L94" s="56" t="n"/>
      <c r="M94" s="59" t="n"/>
      <c r="N94" s="60" t="n"/>
      <c r="O94" s="60" t="n"/>
      <c r="P94" s="61" t="n"/>
      <c r="Q94" s="52" t="n"/>
      <c r="R94" s="52" t="n"/>
      <c r="S94" s="52" t="n"/>
      <c r="T94" s="52">
        <f>VLOOKUP(S94,'[1]COUNTRY LIST2'!$B$2:$G$254,2,0)</f>
        <v/>
      </c>
      <c r="U94" s="52">
        <f>VLOOKUP(S94,'[1]COUNTRY LIST2'!$B$2:$G$254,3,0)</f>
        <v/>
      </c>
      <c r="V94" s="52">
        <f>VLOOKUP(S94,'[1]COUNTRY LIST2'!$B$2:$G$254,6,0)</f>
        <v/>
      </c>
      <c r="W94" s="52">
        <f>VLOOKUP(S94,'[1]COUNTRY LIST2'!$B$2:$G$254,5,0)</f>
        <v/>
      </c>
      <c r="X94" s="52" t="n"/>
      <c r="Y94" s="62" t="n"/>
      <c r="Z94" s="63">
        <f>VLOOKUP(Y94,[1]OTH!A:B,2,0)</f>
        <v/>
      </c>
      <c r="AB94" s="63">
        <f>VLOOKUP(Y94,[1]OTH!$A$1:$C$22,3,0)</f>
        <v/>
      </c>
      <c r="AF94" s="64">
        <f>G94*H94</f>
        <v/>
      </c>
      <c r="AI94" s="65" t="n"/>
      <c r="AJ94" s="66">
        <f>ROUND(I94,2)</f>
        <v/>
      </c>
      <c r="AK94" s="40" t="inlineStr">
        <is>
          <t>x</t>
        </is>
      </c>
      <c r="AL94" s="67" t="n"/>
      <c r="AM94" s="40" t="inlineStr">
        <is>
          <t>x</t>
        </is>
      </c>
      <c r="AN94" s="13" t="n">
        <v>0</v>
      </c>
      <c r="AO94" s="13" t="n">
        <v>0</v>
      </c>
      <c r="AP94" s="13">
        <f>AN94+AO94</f>
        <v/>
      </c>
      <c r="AQ94" s="13">
        <f>AP94*G94</f>
        <v/>
      </c>
    </row>
    <row r="95" ht="10.25" customFormat="1" customHeight="1" s="9">
      <c r="B95" s="52" t="n"/>
      <c r="C95" s="52" t="n"/>
      <c r="D95" s="52" t="n"/>
      <c r="E95" s="52" t="n"/>
      <c r="F95" s="52" t="n"/>
      <c r="G95" s="54" t="n"/>
      <c r="H95" s="55" t="n"/>
      <c r="I95" s="56" t="n"/>
      <c r="J95" s="57" t="n"/>
      <c r="K95" s="58" t="n"/>
      <c r="L95" s="56" t="n"/>
      <c r="M95" s="59" t="n"/>
      <c r="N95" s="60" t="n"/>
      <c r="O95" s="60" t="n"/>
      <c r="P95" s="61" t="n"/>
      <c r="Q95" s="52" t="n"/>
      <c r="R95" s="52" t="n"/>
      <c r="S95" s="52" t="n"/>
      <c r="T95" s="52">
        <f>VLOOKUP(S95,'[1]COUNTRY LIST2'!$B$2:$G$254,2,0)</f>
        <v/>
      </c>
      <c r="U95" s="52">
        <f>VLOOKUP(S95,'[1]COUNTRY LIST2'!$B$2:$G$254,3,0)</f>
        <v/>
      </c>
      <c r="V95" s="52">
        <f>VLOOKUP(S95,'[1]COUNTRY LIST2'!$B$2:$G$254,6,0)</f>
        <v/>
      </c>
      <c r="W95" s="52">
        <f>VLOOKUP(S95,'[1]COUNTRY LIST2'!$B$2:$G$254,5,0)</f>
        <v/>
      </c>
      <c r="X95" s="52" t="n"/>
      <c r="Y95" s="62" t="n"/>
      <c r="Z95" s="63">
        <f>VLOOKUP(Y95,[1]OTH!A:B,2,0)</f>
        <v/>
      </c>
      <c r="AB95" s="63">
        <f>VLOOKUP(Y95,[1]OTH!$A$1:$C$22,3,0)</f>
        <v/>
      </c>
      <c r="AF95" s="64">
        <f>G95*H95</f>
        <v/>
      </c>
      <c r="AI95" s="65" t="n"/>
      <c r="AJ95" s="66">
        <f>ROUND(I95,2)</f>
        <v/>
      </c>
      <c r="AK95" s="40" t="inlineStr">
        <is>
          <t>x</t>
        </is>
      </c>
      <c r="AL95" s="67" t="n"/>
      <c r="AM95" s="40" t="inlineStr">
        <is>
          <t>x</t>
        </is>
      </c>
      <c r="AN95" s="13" t="n">
        <v>0</v>
      </c>
      <c r="AO95" s="13" t="n">
        <v>0</v>
      </c>
      <c r="AP95" s="13">
        <f>AN95+AO95</f>
        <v/>
      </c>
      <c r="AQ95" s="13">
        <f>AP95*G95</f>
        <v/>
      </c>
    </row>
    <row r="96" ht="10.25" customFormat="1" customHeight="1" s="9">
      <c r="B96" s="52" t="n"/>
      <c r="C96" s="52" t="n"/>
      <c r="D96" s="52" t="n"/>
      <c r="E96" s="52" t="n"/>
      <c r="F96" s="52" t="n"/>
      <c r="G96" s="54" t="n"/>
      <c r="H96" s="55" t="n"/>
      <c r="I96" s="56" t="n"/>
      <c r="J96" s="57" t="n"/>
      <c r="K96" s="58" t="n"/>
      <c r="L96" s="56" t="n"/>
      <c r="M96" s="59" t="n"/>
      <c r="N96" s="60" t="n"/>
      <c r="O96" s="60" t="n"/>
      <c r="P96" s="61" t="n"/>
      <c r="Q96" s="52" t="n"/>
      <c r="R96" s="52" t="n"/>
      <c r="S96" s="52" t="n"/>
      <c r="T96" s="52">
        <f>VLOOKUP(S96,'[1]COUNTRY LIST2'!$B$2:$G$254,2,0)</f>
        <v/>
      </c>
      <c r="U96" s="52">
        <f>VLOOKUP(S96,'[1]COUNTRY LIST2'!$B$2:$G$254,3,0)</f>
        <v/>
      </c>
      <c r="V96" s="52">
        <f>VLOOKUP(S96,'[1]COUNTRY LIST2'!$B$2:$G$254,6,0)</f>
        <v/>
      </c>
      <c r="W96" s="52">
        <f>VLOOKUP(S96,'[1]COUNTRY LIST2'!$B$2:$G$254,5,0)</f>
        <v/>
      </c>
      <c r="X96" s="52" t="n"/>
      <c r="Y96" s="62" t="n"/>
      <c r="Z96" s="63">
        <f>VLOOKUP(Y96,[1]OTH!A:B,2,0)</f>
        <v/>
      </c>
      <c r="AB96" s="63">
        <f>VLOOKUP(Y96,[1]OTH!$A$1:$C$22,3,0)</f>
        <v/>
      </c>
      <c r="AF96" s="64">
        <f>G96*H96</f>
        <v/>
      </c>
      <c r="AI96" s="65" t="n"/>
      <c r="AJ96" s="66">
        <f>ROUND(I96,2)</f>
        <v/>
      </c>
      <c r="AK96" s="40" t="inlineStr">
        <is>
          <t>x</t>
        </is>
      </c>
      <c r="AL96" s="67" t="n"/>
      <c r="AM96" s="40" t="inlineStr">
        <is>
          <t>x</t>
        </is>
      </c>
      <c r="AN96" s="13" t="n">
        <v>0</v>
      </c>
      <c r="AO96" s="13" t="n">
        <v>0</v>
      </c>
      <c r="AP96" s="13">
        <f>AN96+AO96</f>
        <v/>
      </c>
      <c r="AQ96" s="13">
        <f>AP96*G96</f>
        <v/>
      </c>
    </row>
    <row r="97" ht="10.25" customFormat="1" customHeight="1" s="9">
      <c r="B97" s="52" t="n"/>
      <c r="C97" s="52" t="n"/>
      <c r="D97" s="52" t="n"/>
      <c r="E97" s="52" t="n"/>
      <c r="F97" s="52" t="n"/>
      <c r="G97" s="54" t="n"/>
      <c r="H97" s="55" t="n"/>
      <c r="I97" s="56" t="n"/>
      <c r="J97" s="57" t="n"/>
      <c r="K97" s="58" t="n"/>
      <c r="L97" s="56" t="n"/>
      <c r="M97" s="59" t="n"/>
      <c r="N97" s="60" t="n"/>
      <c r="O97" s="60" t="n"/>
      <c r="P97" s="61" t="n"/>
      <c r="Q97" s="52" t="n"/>
      <c r="R97" s="52" t="n"/>
      <c r="S97" s="52" t="n"/>
      <c r="T97" s="52">
        <f>VLOOKUP(S97,'[1]COUNTRY LIST2'!$B$2:$G$254,2,0)</f>
        <v/>
      </c>
      <c r="U97" s="52">
        <f>VLOOKUP(S97,'[1]COUNTRY LIST2'!$B$2:$G$254,3,0)</f>
        <v/>
      </c>
      <c r="V97" s="52">
        <f>VLOOKUP(S97,'[1]COUNTRY LIST2'!$B$2:$G$254,6,0)</f>
        <v/>
      </c>
      <c r="W97" s="52">
        <f>VLOOKUP(S97,'[1]COUNTRY LIST2'!$B$2:$G$254,5,0)</f>
        <v/>
      </c>
      <c r="X97" s="52" t="n"/>
      <c r="Y97" s="62" t="n"/>
      <c r="Z97" s="63">
        <f>VLOOKUP(Y97,[1]OTH!A:B,2,0)</f>
        <v/>
      </c>
      <c r="AB97" s="63">
        <f>VLOOKUP(Y97,[1]OTH!$A$1:$C$22,3,0)</f>
        <v/>
      </c>
      <c r="AF97" s="64">
        <f>G97*H97</f>
        <v/>
      </c>
      <c r="AI97" s="65" t="n"/>
      <c r="AJ97" s="66">
        <f>ROUND(I97,2)</f>
        <v/>
      </c>
      <c r="AK97" s="40" t="inlineStr">
        <is>
          <t>x</t>
        </is>
      </c>
      <c r="AL97" s="67" t="n"/>
      <c r="AM97" s="40" t="inlineStr">
        <is>
          <t>x</t>
        </is>
      </c>
      <c r="AN97" s="13" t="n">
        <v>0</v>
      </c>
      <c r="AO97" s="13" t="n">
        <v>0</v>
      </c>
      <c r="AP97" s="13">
        <f>AN97+AO97</f>
        <v/>
      </c>
      <c r="AQ97" s="13">
        <f>AP97*G97</f>
        <v/>
      </c>
    </row>
    <row r="98" ht="10.25" customFormat="1" customHeight="1" s="9">
      <c r="B98" s="52" t="n"/>
      <c r="C98" s="52" t="n"/>
      <c r="D98" s="52" t="n"/>
      <c r="E98" s="52" t="n"/>
      <c r="F98" s="52" t="n"/>
      <c r="G98" s="54" t="n"/>
      <c r="H98" s="55" t="n"/>
      <c r="I98" s="56" t="n"/>
      <c r="J98" s="57" t="n"/>
      <c r="K98" s="58" t="n"/>
      <c r="L98" s="56" t="n"/>
      <c r="M98" s="59" t="n"/>
      <c r="N98" s="60" t="n"/>
      <c r="O98" s="60" t="n"/>
      <c r="P98" s="61" t="n"/>
      <c r="Q98" s="52" t="n"/>
      <c r="R98" s="52" t="n"/>
      <c r="S98" s="52" t="n"/>
      <c r="T98" s="52">
        <f>VLOOKUP(S98,'[1]COUNTRY LIST2'!$B$2:$G$254,2,0)</f>
        <v/>
      </c>
      <c r="U98" s="52">
        <f>VLOOKUP(S98,'[1]COUNTRY LIST2'!$B$2:$G$254,3,0)</f>
        <v/>
      </c>
      <c r="V98" s="52">
        <f>VLOOKUP(S98,'[1]COUNTRY LIST2'!$B$2:$G$254,6,0)</f>
        <v/>
      </c>
      <c r="W98" s="52">
        <f>VLOOKUP(S98,'[1]COUNTRY LIST2'!$B$2:$G$254,5,0)</f>
        <v/>
      </c>
      <c r="X98" s="52" t="n"/>
      <c r="Y98" s="62" t="n"/>
      <c r="Z98" s="63">
        <f>VLOOKUP(Y98,[1]OTH!A:B,2,0)</f>
        <v/>
      </c>
      <c r="AB98" s="63">
        <f>VLOOKUP(Y98,[1]OTH!$A$1:$C$22,3,0)</f>
        <v/>
      </c>
      <c r="AF98" s="64">
        <f>G98*H98</f>
        <v/>
      </c>
      <c r="AI98" s="65" t="n"/>
      <c r="AJ98" s="66">
        <f>ROUND(I98,2)</f>
        <v/>
      </c>
      <c r="AK98" s="40" t="inlineStr">
        <is>
          <t>x</t>
        </is>
      </c>
      <c r="AL98" s="67" t="n"/>
      <c r="AM98" s="40" t="inlineStr">
        <is>
          <t>x</t>
        </is>
      </c>
      <c r="AN98" s="13" t="n">
        <v>0</v>
      </c>
      <c r="AO98" s="13" t="n">
        <v>0</v>
      </c>
      <c r="AP98" s="13">
        <f>AN98+AO98</f>
        <v/>
      </c>
      <c r="AQ98" s="13">
        <f>AP98*G98</f>
        <v/>
      </c>
    </row>
    <row r="99" ht="10.25" customFormat="1" customHeight="1" s="9">
      <c r="B99" s="52" t="n"/>
      <c r="C99" s="52" t="n"/>
      <c r="D99" s="52" t="n"/>
      <c r="E99" s="52" t="n"/>
      <c r="F99" s="52" t="n"/>
      <c r="G99" s="54" t="n"/>
      <c r="H99" s="55" t="n"/>
      <c r="I99" s="56" t="n"/>
      <c r="J99" s="57" t="n"/>
      <c r="K99" s="58" t="n"/>
      <c r="L99" s="56" t="n"/>
      <c r="M99" s="59" t="n"/>
      <c r="N99" s="60" t="n"/>
      <c r="O99" s="60" t="n"/>
      <c r="P99" s="61" t="n"/>
      <c r="Q99" s="52" t="n"/>
      <c r="R99" s="52" t="n"/>
      <c r="S99" s="52" t="n"/>
      <c r="T99" s="52">
        <f>VLOOKUP(S99,'[1]COUNTRY LIST2'!$B$2:$G$254,2,0)</f>
        <v/>
      </c>
      <c r="U99" s="52">
        <f>VLOOKUP(S99,'[1]COUNTRY LIST2'!$B$2:$G$254,3,0)</f>
        <v/>
      </c>
      <c r="V99" s="52">
        <f>VLOOKUP(S99,'[1]COUNTRY LIST2'!$B$2:$G$254,6,0)</f>
        <v/>
      </c>
      <c r="W99" s="52">
        <f>VLOOKUP(S99,'[1]COUNTRY LIST2'!$B$2:$G$254,5,0)</f>
        <v/>
      </c>
      <c r="X99" s="52" t="n"/>
      <c r="Y99" s="62" t="n"/>
      <c r="Z99" s="63">
        <f>VLOOKUP(Y99,[1]OTH!A:B,2,0)</f>
        <v/>
      </c>
      <c r="AB99" s="63">
        <f>VLOOKUP(Y99,[1]OTH!$A$1:$C$22,3,0)</f>
        <v/>
      </c>
      <c r="AF99" s="64">
        <f>G99*H99</f>
        <v/>
      </c>
      <c r="AI99" s="65" t="n"/>
      <c r="AJ99" s="66">
        <f>ROUND(I99,2)</f>
        <v/>
      </c>
      <c r="AK99" s="40" t="inlineStr">
        <is>
          <t>x</t>
        </is>
      </c>
      <c r="AL99" s="67" t="n"/>
      <c r="AM99" s="40" t="inlineStr">
        <is>
          <t>x</t>
        </is>
      </c>
      <c r="AN99" s="13" t="n">
        <v>0</v>
      </c>
      <c r="AO99" s="13" t="n">
        <v>0</v>
      </c>
      <c r="AP99" s="13">
        <f>AN99+AO99</f>
        <v/>
      </c>
      <c r="AQ99" s="13">
        <f>AP99*G99</f>
        <v/>
      </c>
    </row>
    <row r="100" ht="10.25" customFormat="1" customHeight="1" s="9">
      <c r="B100" s="52" t="n"/>
      <c r="C100" s="52" t="n"/>
      <c r="D100" s="52" t="n"/>
      <c r="E100" s="52" t="n"/>
      <c r="F100" s="52" t="n"/>
      <c r="G100" s="54" t="n"/>
      <c r="H100" s="55" t="n"/>
      <c r="I100" s="56" t="n"/>
      <c r="J100" s="57" t="n"/>
      <c r="K100" s="58" t="n"/>
      <c r="L100" s="56" t="n"/>
      <c r="M100" s="59" t="n"/>
      <c r="N100" s="60" t="n"/>
      <c r="O100" s="60" t="n"/>
      <c r="P100" s="61" t="n"/>
      <c r="Q100" s="52" t="n"/>
      <c r="R100" s="52" t="n"/>
      <c r="S100" s="52" t="n"/>
      <c r="T100" s="52">
        <f>VLOOKUP(S100,'[1]COUNTRY LIST2'!$B$2:$G$254,2,0)</f>
        <v/>
      </c>
      <c r="U100" s="52">
        <f>VLOOKUP(S100,'[1]COUNTRY LIST2'!$B$2:$G$254,3,0)</f>
        <v/>
      </c>
      <c r="V100" s="52">
        <f>VLOOKUP(S100,'[1]COUNTRY LIST2'!$B$2:$G$254,6,0)</f>
        <v/>
      </c>
      <c r="W100" s="52">
        <f>VLOOKUP(S100,'[1]COUNTRY LIST2'!$B$2:$G$254,5,0)</f>
        <v/>
      </c>
      <c r="X100" s="52" t="n"/>
      <c r="Y100" s="62" t="n"/>
      <c r="Z100" s="63">
        <f>VLOOKUP(Y100,[1]OTH!A:B,2,0)</f>
        <v/>
      </c>
      <c r="AB100" s="63">
        <f>VLOOKUP(Y100,[1]OTH!$A$1:$C$22,3,0)</f>
        <v/>
      </c>
      <c r="AF100" s="64">
        <f>G100*H100</f>
        <v/>
      </c>
      <c r="AI100" s="65" t="n"/>
      <c r="AJ100" s="66">
        <f>ROUND(I100,2)</f>
        <v/>
      </c>
      <c r="AK100" s="40" t="inlineStr">
        <is>
          <t>x</t>
        </is>
      </c>
      <c r="AL100" s="67" t="n"/>
      <c r="AM100" s="40" t="inlineStr">
        <is>
          <t>x</t>
        </is>
      </c>
      <c r="AN100" s="13" t="n">
        <v>0</v>
      </c>
      <c r="AO100" s="13" t="n">
        <v>0</v>
      </c>
      <c r="AP100" s="13">
        <f>AN100+AO100</f>
        <v/>
      </c>
      <c r="AQ100" s="13">
        <f>AP100*G100</f>
        <v/>
      </c>
    </row>
    <row r="101" ht="10.25" customFormat="1" customHeight="1" s="9">
      <c r="B101" s="52" t="n"/>
      <c r="C101" s="52" t="n"/>
      <c r="D101" s="69" t="n"/>
      <c r="E101" s="52" t="n"/>
      <c r="F101" s="52" t="n"/>
      <c r="G101" s="54" t="n"/>
      <c r="H101" s="55" t="n"/>
      <c r="I101" s="56" t="n"/>
      <c r="J101" s="57" t="n"/>
      <c r="K101" s="58" t="n"/>
      <c r="L101" s="56" t="n"/>
      <c r="M101" s="59" t="n"/>
      <c r="N101" s="60" t="n"/>
      <c r="O101" s="60" t="n"/>
      <c r="P101" s="61" t="n"/>
      <c r="Q101" s="52" t="n"/>
      <c r="R101" s="52" t="n"/>
      <c r="S101" s="52" t="n"/>
      <c r="T101" s="52">
        <f>VLOOKUP(S101,'[1]COUNTRY LIST2'!$B$2:$G$254,2,0)</f>
        <v/>
      </c>
      <c r="U101" s="52">
        <f>VLOOKUP(S101,'[1]COUNTRY LIST2'!$B$2:$G$254,3,0)</f>
        <v/>
      </c>
      <c r="V101" s="52">
        <f>VLOOKUP(S101,'[1]COUNTRY LIST2'!$B$2:$G$254,6,0)</f>
        <v/>
      </c>
      <c r="W101" s="52">
        <f>VLOOKUP(S101,'[1]COUNTRY LIST2'!$B$2:$G$254,5,0)</f>
        <v/>
      </c>
      <c r="X101" s="52" t="n"/>
      <c r="Y101" s="62" t="n"/>
      <c r="Z101" s="63">
        <f>VLOOKUP(Y101,[1]OTH!A:B,2,0)</f>
        <v/>
      </c>
      <c r="AB101" s="63">
        <f>VLOOKUP(Y101,[1]OTH!$A$1:$C$22,3,0)</f>
        <v/>
      </c>
      <c r="AF101" s="64">
        <f>G101*H101</f>
        <v/>
      </c>
      <c r="AI101" s="65" t="n"/>
      <c r="AJ101" s="66">
        <f>ROUND(I101,2)</f>
        <v/>
      </c>
      <c r="AK101" s="40" t="inlineStr">
        <is>
          <t>x</t>
        </is>
      </c>
      <c r="AL101" s="67" t="n"/>
      <c r="AM101" s="40" t="inlineStr">
        <is>
          <t>x</t>
        </is>
      </c>
      <c r="AN101" s="13" t="n">
        <v>0</v>
      </c>
      <c r="AO101" s="13" t="n">
        <v>0</v>
      </c>
      <c r="AP101" s="13">
        <f>AN101+AO101</f>
        <v/>
      </c>
      <c r="AQ101" s="13">
        <f>AP101*G101</f>
        <v/>
      </c>
    </row>
    <row r="102" ht="10.25" customFormat="1" customHeight="1" s="9">
      <c r="B102" s="52" t="n"/>
      <c r="C102" s="52" t="n"/>
      <c r="D102" s="69" t="n"/>
      <c r="E102" s="52" t="n"/>
      <c r="F102" s="52" t="n"/>
      <c r="G102" s="54" t="n"/>
      <c r="H102" s="55" t="n"/>
      <c r="I102" s="56" t="n"/>
      <c r="J102" s="57" t="n"/>
      <c r="K102" s="58" t="n"/>
      <c r="L102" s="56" t="n"/>
      <c r="M102" s="59" t="n"/>
      <c r="N102" s="60" t="n"/>
      <c r="O102" s="60" t="n"/>
      <c r="P102" s="61" t="n"/>
      <c r="Q102" s="52" t="n"/>
      <c r="R102" s="52" t="n"/>
      <c r="S102" s="52" t="n"/>
      <c r="T102" s="52">
        <f>VLOOKUP(S102,'[1]COUNTRY LIST2'!$B$2:$G$254,2,0)</f>
        <v/>
      </c>
      <c r="U102" s="52">
        <f>VLOOKUP(S102,'[1]COUNTRY LIST2'!$B$2:$G$254,3,0)</f>
        <v/>
      </c>
      <c r="V102" s="52">
        <f>VLOOKUP(S102,'[1]COUNTRY LIST2'!$B$2:$G$254,6,0)</f>
        <v/>
      </c>
      <c r="W102" s="52">
        <f>VLOOKUP(S102,'[1]COUNTRY LIST2'!$B$2:$G$254,5,0)</f>
        <v/>
      </c>
      <c r="X102" s="52" t="n"/>
      <c r="Y102" s="62" t="n"/>
      <c r="Z102" s="63">
        <f>VLOOKUP(Y102,[1]OTH!A:B,2,0)</f>
        <v/>
      </c>
      <c r="AB102" s="63">
        <f>VLOOKUP(Y102,[1]OTH!$A$1:$C$22,3,0)</f>
        <v/>
      </c>
      <c r="AF102" s="64">
        <f>G102*H102</f>
        <v/>
      </c>
      <c r="AI102" s="65" t="n"/>
      <c r="AJ102" s="66">
        <f>ROUND(I102,2)</f>
        <v/>
      </c>
      <c r="AK102" s="40" t="inlineStr">
        <is>
          <t>x</t>
        </is>
      </c>
      <c r="AL102" s="67" t="n"/>
      <c r="AM102" s="40" t="inlineStr">
        <is>
          <t>x</t>
        </is>
      </c>
      <c r="AN102" s="13" t="n">
        <v>0</v>
      </c>
      <c r="AO102" s="13" t="n">
        <v>0</v>
      </c>
      <c r="AP102" s="13">
        <f>AN102+AO102</f>
        <v/>
      </c>
      <c r="AQ102" s="13">
        <f>AP102*G102</f>
        <v/>
      </c>
    </row>
    <row r="103" ht="10.25" customFormat="1" customHeight="1" s="9">
      <c r="B103" s="52" t="n"/>
      <c r="C103" s="52" t="n"/>
      <c r="D103" s="69" t="n"/>
      <c r="E103" s="52" t="n"/>
      <c r="F103" s="52" t="n"/>
      <c r="G103" s="54" t="n"/>
      <c r="H103" s="55" t="n"/>
      <c r="I103" s="56" t="n"/>
      <c r="J103" s="57" t="n"/>
      <c r="K103" s="58" t="n"/>
      <c r="L103" s="56" t="n"/>
      <c r="M103" s="59" t="n"/>
      <c r="N103" s="60" t="n"/>
      <c r="O103" s="60" t="n"/>
      <c r="P103" s="61" t="n"/>
      <c r="Q103" s="52" t="n"/>
      <c r="R103" s="52" t="n"/>
      <c r="S103" s="52" t="n"/>
      <c r="T103" s="52">
        <f>VLOOKUP(S103,'[1]COUNTRY LIST2'!$B$2:$G$254,2,0)</f>
        <v/>
      </c>
      <c r="U103" s="52">
        <f>VLOOKUP(S103,'[1]COUNTRY LIST2'!$B$2:$G$254,3,0)</f>
        <v/>
      </c>
      <c r="V103" s="52">
        <f>VLOOKUP(S103,'[1]COUNTRY LIST2'!$B$2:$G$254,6,0)</f>
        <v/>
      </c>
      <c r="W103" s="52">
        <f>VLOOKUP(S103,'[1]COUNTRY LIST2'!$B$2:$G$254,5,0)</f>
        <v/>
      </c>
      <c r="X103" s="52" t="n"/>
      <c r="Y103" s="62" t="n"/>
      <c r="Z103" s="63">
        <f>VLOOKUP(Y103,[1]OTH!A:B,2,0)</f>
        <v/>
      </c>
      <c r="AB103" s="63">
        <f>VLOOKUP(Y103,[1]OTH!$A$1:$C$22,3,0)</f>
        <v/>
      </c>
      <c r="AF103" s="64">
        <f>G103*H103</f>
        <v/>
      </c>
      <c r="AI103" s="65" t="n"/>
      <c r="AJ103" s="66">
        <f>ROUND(I103,2)</f>
        <v/>
      </c>
      <c r="AK103" s="40" t="inlineStr">
        <is>
          <t>x</t>
        </is>
      </c>
      <c r="AL103" s="67" t="n"/>
      <c r="AM103" s="40" t="inlineStr">
        <is>
          <t>x</t>
        </is>
      </c>
      <c r="AN103" s="13" t="n">
        <v>0</v>
      </c>
      <c r="AO103" s="13" t="n">
        <v>0</v>
      </c>
      <c r="AP103" s="13">
        <f>AN103+AO103</f>
        <v/>
      </c>
      <c r="AQ103" s="13">
        <f>AP103*G103</f>
        <v/>
      </c>
    </row>
    <row r="104" ht="10.25" customFormat="1" customHeight="1" s="9">
      <c r="B104" s="52" t="n"/>
      <c r="C104" s="52" t="n"/>
      <c r="D104" s="69" t="n"/>
      <c r="E104" s="52" t="n"/>
      <c r="F104" s="52" t="n"/>
      <c r="G104" s="54" t="n"/>
      <c r="H104" s="55" t="n"/>
      <c r="I104" s="56" t="n"/>
      <c r="J104" s="57" t="n"/>
      <c r="K104" s="58" t="n"/>
      <c r="L104" s="56" t="n"/>
      <c r="M104" s="59" t="n"/>
      <c r="N104" s="60" t="n"/>
      <c r="O104" s="60" t="n"/>
      <c r="P104" s="61" t="n"/>
      <c r="Q104" s="52" t="n"/>
      <c r="R104" s="52" t="n"/>
      <c r="S104" s="52" t="n"/>
      <c r="T104" s="52">
        <f>VLOOKUP(S104,'[1]COUNTRY LIST2'!$B$2:$G$254,2,0)</f>
        <v/>
      </c>
      <c r="U104" s="52">
        <f>VLOOKUP(S104,'[1]COUNTRY LIST2'!$B$2:$G$254,3,0)</f>
        <v/>
      </c>
      <c r="V104" s="52">
        <f>VLOOKUP(S104,'[1]COUNTRY LIST2'!$B$2:$G$254,6,0)</f>
        <v/>
      </c>
      <c r="W104" s="52">
        <f>VLOOKUP(S104,'[1]COUNTRY LIST2'!$B$2:$G$254,5,0)</f>
        <v/>
      </c>
      <c r="X104" s="52" t="n"/>
      <c r="Y104" s="62" t="n"/>
      <c r="Z104" s="63">
        <f>VLOOKUP(Y104,[1]OTH!A:B,2,0)</f>
        <v/>
      </c>
      <c r="AB104" s="63">
        <f>VLOOKUP(Y104,[1]OTH!$A$1:$C$22,3,0)</f>
        <v/>
      </c>
      <c r="AF104" s="64">
        <f>G104*H104</f>
        <v/>
      </c>
      <c r="AI104" s="65" t="n"/>
      <c r="AJ104" s="66">
        <f>ROUND(I104,2)</f>
        <v/>
      </c>
      <c r="AK104" s="40" t="inlineStr">
        <is>
          <t>x</t>
        </is>
      </c>
      <c r="AL104" s="67" t="n"/>
      <c r="AM104" s="40" t="inlineStr">
        <is>
          <t>x</t>
        </is>
      </c>
      <c r="AN104" s="13" t="n">
        <v>0</v>
      </c>
      <c r="AO104" s="13" t="n">
        <v>0</v>
      </c>
      <c r="AP104" s="13">
        <f>AN104+AO104</f>
        <v/>
      </c>
      <c r="AQ104" s="13">
        <f>AP104*G104</f>
        <v/>
      </c>
    </row>
    <row r="105" ht="10.25" customFormat="1" customHeight="1" s="9">
      <c r="B105" s="52" t="n"/>
      <c r="C105" s="52" t="n"/>
      <c r="D105" s="69" t="n"/>
      <c r="E105" s="52" t="n"/>
      <c r="F105" s="52" t="n"/>
      <c r="G105" s="54" t="n"/>
      <c r="H105" s="55" t="n"/>
      <c r="I105" s="56" t="n"/>
      <c r="J105" s="57" t="n"/>
      <c r="K105" s="58" t="n"/>
      <c r="L105" s="56" t="n"/>
      <c r="M105" s="59" t="n"/>
      <c r="N105" s="60" t="n"/>
      <c r="O105" s="60" t="n"/>
      <c r="P105" s="61" t="n"/>
      <c r="Q105" s="52" t="n"/>
      <c r="R105" s="52" t="n"/>
      <c r="S105" s="52" t="n"/>
      <c r="T105" s="52">
        <f>VLOOKUP(S105,'[1]COUNTRY LIST2'!$B$2:$G$254,2,0)</f>
        <v/>
      </c>
      <c r="U105" s="52">
        <f>VLOOKUP(S105,'[1]COUNTRY LIST2'!$B$2:$G$254,3,0)</f>
        <v/>
      </c>
      <c r="V105" s="52">
        <f>VLOOKUP(S105,'[1]COUNTRY LIST2'!$B$2:$G$254,6,0)</f>
        <v/>
      </c>
      <c r="W105" s="52">
        <f>VLOOKUP(S105,'[1]COUNTRY LIST2'!$B$2:$G$254,5,0)</f>
        <v/>
      </c>
      <c r="X105" s="52" t="n"/>
      <c r="Y105" s="62" t="n"/>
      <c r="Z105" s="63">
        <f>VLOOKUP(Y105,[1]OTH!A:B,2,0)</f>
        <v/>
      </c>
      <c r="AB105" s="63">
        <f>VLOOKUP(Y105,[1]OTH!$A$1:$C$22,3,0)</f>
        <v/>
      </c>
      <c r="AF105" s="64">
        <f>G105*H105</f>
        <v/>
      </c>
      <c r="AI105" s="65" t="n"/>
      <c r="AJ105" s="66">
        <f>ROUND(I105,2)</f>
        <v/>
      </c>
      <c r="AK105" s="40" t="inlineStr">
        <is>
          <t>x</t>
        </is>
      </c>
      <c r="AL105" s="67" t="n"/>
      <c r="AM105" s="40" t="inlineStr">
        <is>
          <t>x</t>
        </is>
      </c>
      <c r="AN105" s="13" t="n">
        <v>0</v>
      </c>
      <c r="AO105" s="13" t="n">
        <v>0</v>
      </c>
      <c r="AP105" s="13">
        <f>AN105+AO105</f>
        <v/>
      </c>
      <c r="AQ105" s="13">
        <f>AP105*G105</f>
        <v/>
      </c>
    </row>
    <row r="106" ht="10.25" customFormat="1" customHeight="1" s="9">
      <c r="B106" s="52" t="n"/>
      <c r="C106" s="52" t="n"/>
      <c r="D106" s="69" t="n"/>
      <c r="E106" s="52" t="n"/>
      <c r="F106" s="52" t="n"/>
      <c r="G106" s="54" t="n"/>
      <c r="H106" s="55" t="n"/>
      <c r="I106" s="56" t="n"/>
      <c r="J106" s="57" t="n"/>
      <c r="K106" s="58" t="n"/>
      <c r="L106" s="56" t="n"/>
      <c r="M106" s="59" t="n"/>
      <c r="N106" s="60" t="n"/>
      <c r="O106" s="60" t="n"/>
      <c r="P106" s="61" t="n"/>
      <c r="Q106" s="52" t="n"/>
      <c r="R106" s="52" t="n"/>
      <c r="S106" s="52" t="n"/>
      <c r="T106" s="52">
        <f>VLOOKUP(S106,'[1]COUNTRY LIST2'!$B$2:$G$254,2,0)</f>
        <v/>
      </c>
      <c r="U106" s="52">
        <f>VLOOKUP(S106,'[1]COUNTRY LIST2'!$B$2:$G$254,3,0)</f>
        <v/>
      </c>
      <c r="V106" s="52">
        <f>VLOOKUP(S106,'[1]COUNTRY LIST2'!$B$2:$G$254,6,0)</f>
        <v/>
      </c>
      <c r="W106" s="52">
        <f>VLOOKUP(S106,'[1]COUNTRY LIST2'!$B$2:$G$254,5,0)</f>
        <v/>
      </c>
      <c r="X106" s="52" t="n"/>
      <c r="Y106" s="62" t="n"/>
      <c r="Z106" s="63">
        <f>VLOOKUP(Y106,[1]OTH!A:B,2,0)</f>
        <v/>
      </c>
      <c r="AB106" s="63">
        <f>VLOOKUP(Y106,[1]OTH!$A$1:$C$22,3,0)</f>
        <v/>
      </c>
      <c r="AF106" s="64">
        <f>G106*H106</f>
        <v/>
      </c>
      <c r="AI106" s="65" t="n"/>
      <c r="AJ106" s="66">
        <f>ROUND(I106,2)</f>
        <v/>
      </c>
      <c r="AK106" s="40" t="inlineStr">
        <is>
          <t>x</t>
        </is>
      </c>
      <c r="AL106" s="67" t="n"/>
      <c r="AM106" s="40" t="inlineStr">
        <is>
          <t>x</t>
        </is>
      </c>
      <c r="AN106" s="13" t="n">
        <v>0</v>
      </c>
      <c r="AO106" s="13" t="n">
        <v>0</v>
      </c>
      <c r="AP106" s="13">
        <f>AN106+AO106</f>
        <v/>
      </c>
      <c r="AQ106" s="13">
        <f>AP106*G106</f>
        <v/>
      </c>
    </row>
    <row r="107" ht="10.25" customFormat="1" customHeight="1" s="9">
      <c r="B107" s="52" t="n"/>
      <c r="C107" s="52" t="n"/>
      <c r="D107" s="69" t="n"/>
      <c r="E107" s="52" t="n"/>
      <c r="F107" s="52" t="n"/>
      <c r="G107" s="54" t="n"/>
      <c r="H107" s="55" t="n"/>
      <c r="I107" s="56" t="n"/>
      <c r="J107" s="57" t="n"/>
      <c r="K107" s="58" t="n"/>
      <c r="L107" s="56" t="n"/>
      <c r="M107" s="59" t="n"/>
      <c r="N107" s="60" t="n"/>
      <c r="O107" s="60" t="n"/>
      <c r="P107" s="61" t="n"/>
      <c r="Q107" s="52" t="n"/>
      <c r="R107" s="52" t="n"/>
      <c r="S107" s="52" t="n"/>
      <c r="T107" s="52">
        <f>VLOOKUP(S107,'[1]COUNTRY LIST2'!$B$2:$G$254,2,0)</f>
        <v/>
      </c>
      <c r="U107" s="52">
        <f>VLOOKUP(S107,'[1]COUNTRY LIST2'!$B$2:$G$254,3,0)</f>
        <v/>
      </c>
      <c r="V107" s="52">
        <f>VLOOKUP(S107,'[1]COUNTRY LIST2'!$B$2:$G$254,6,0)</f>
        <v/>
      </c>
      <c r="W107" s="52">
        <f>VLOOKUP(S107,'[1]COUNTRY LIST2'!$B$2:$G$254,5,0)</f>
        <v/>
      </c>
      <c r="X107" s="52" t="n"/>
      <c r="Y107" s="62" t="n"/>
      <c r="Z107" s="63">
        <f>VLOOKUP(Y107,[1]OTH!A:B,2,0)</f>
        <v/>
      </c>
      <c r="AB107" s="63">
        <f>VLOOKUP(Y107,[1]OTH!$A$1:$C$22,3,0)</f>
        <v/>
      </c>
      <c r="AF107" s="64">
        <f>G107*H107</f>
        <v/>
      </c>
      <c r="AI107" s="65" t="n"/>
      <c r="AJ107" s="66">
        <f>ROUND(I107,2)</f>
        <v/>
      </c>
      <c r="AK107" s="40" t="inlineStr">
        <is>
          <t>x</t>
        </is>
      </c>
      <c r="AL107" s="67" t="n"/>
      <c r="AM107" s="40" t="inlineStr">
        <is>
          <t>x</t>
        </is>
      </c>
      <c r="AN107" s="13" t="n">
        <v>0</v>
      </c>
      <c r="AO107" s="13" t="n">
        <v>0</v>
      </c>
      <c r="AP107" s="13">
        <f>AN107+AO107</f>
        <v/>
      </c>
      <c r="AQ107" s="13">
        <f>AP107*G107</f>
        <v/>
      </c>
    </row>
    <row r="108" ht="10.25" customFormat="1" customHeight="1" s="9">
      <c r="B108" s="52" t="n"/>
      <c r="C108" s="52" t="n"/>
      <c r="D108" s="69" t="n"/>
      <c r="E108" s="52" t="n"/>
      <c r="F108" s="52" t="n"/>
      <c r="G108" s="54" t="n"/>
      <c r="H108" s="55" t="n"/>
      <c r="I108" s="56" t="n"/>
      <c r="J108" s="57" t="n"/>
      <c r="K108" s="58" t="n"/>
      <c r="L108" s="56" t="n"/>
      <c r="M108" s="59" t="n"/>
      <c r="N108" s="60" t="n"/>
      <c r="O108" s="60" t="n"/>
      <c r="P108" s="61" t="n"/>
      <c r="Q108" s="52" t="n"/>
      <c r="R108" s="52" t="n"/>
      <c r="S108" s="52" t="n"/>
      <c r="T108" s="52">
        <f>VLOOKUP(S108,'[1]COUNTRY LIST2'!$B$2:$G$254,2,0)</f>
        <v/>
      </c>
      <c r="U108" s="52">
        <f>VLOOKUP(S108,'[1]COUNTRY LIST2'!$B$2:$G$254,3,0)</f>
        <v/>
      </c>
      <c r="V108" s="52">
        <f>VLOOKUP(S108,'[1]COUNTRY LIST2'!$B$2:$G$254,6,0)</f>
        <v/>
      </c>
      <c r="W108" s="52">
        <f>VLOOKUP(S108,'[1]COUNTRY LIST2'!$B$2:$G$254,5,0)</f>
        <v/>
      </c>
      <c r="X108" s="52" t="n"/>
      <c r="Y108" s="62" t="n"/>
      <c r="Z108" s="63">
        <f>VLOOKUP(Y108,[1]OTH!A:B,2,0)</f>
        <v/>
      </c>
      <c r="AB108" s="63">
        <f>VLOOKUP(Y108,[1]OTH!$A$1:$C$22,3,0)</f>
        <v/>
      </c>
      <c r="AF108" s="64">
        <f>G108*H108</f>
        <v/>
      </c>
      <c r="AI108" s="65" t="n"/>
      <c r="AJ108" s="66">
        <f>ROUND(I108,2)</f>
        <v/>
      </c>
      <c r="AK108" s="40" t="inlineStr">
        <is>
          <t>x</t>
        </is>
      </c>
      <c r="AL108" s="67" t="n"/>
      <c r="AM108" s="40" t="inlineStr">
        <is>
          <t>x</t>
        </is>
      </c>
      <c r="AN108" s="13" t="n">
        <v>0</v>
      </c>
      <c r="AO108" s="13" t="n">
        <v>0</v>
      </c>
      <c r="AP108" s="13">
        <f>AN108+AO108</f>
        <v/>
      </c>
      <c r="AQ108" s="13">
        <f>AP108*G108</f>
        <v/>
      </c>
    </row>
    <row r="109" ht="10.25" customFormat="1" customHeight="1" s="9">
      <c r="B109" s="52" t="n"/>
      <c r="C109" s="52" t="n"/>
      <c r="D109" s="69" t="n"/>
      <c r="E109" s="52" t="n"/>
      <c r="F109" s="52" t="n"/>
      <c r="G109" s="54" t="n"/>
      <c r="H109" s="55" t="n"/>
      <c r="I109" s="56" t="n"/>
      <c r="J109" s="57" t="n"/>
      <c r="K109" s="58" t="n"/>
      <c r="L109" s="56" t="n"/>
      <c r="M109" s="59" t="n"/>
      <c r="N109" s="60" t="n"/>
      <c r="O109" s="60" t="n"/>
      <c r="P109" s="61" t="n"/>
      <c r="Q109" s="52" t="n"/>
      <c r="R109" s="52" t="n"/>
      <c r="S109" s="52" t="n"/>
      <c r="T109" s="52">
        <f>VLOOKUP(S109,'[1]COUNTRY LIST2'!$B$2:$G$254,2,0)</f>
        <v/>
      </c>
      <c r="U109" s="52">
        <f>VLOOKUP(S109,'[1]COUNTRY LIST2'!$B$2:$G$254,3,0)</f>
        <v/>
      </c>
      <c r="V109" s="52">
        <f>VLOOKUP(S109,'[1]COUNTRY LIST2'!$B$2:$G$254,6,0)</f>
        <v/>
      </c>
      <c r="W109" s="52">
        <f>VLOOKUP(S109,'[1]COUNTRY LIST2'!$B$2:$G$254,5,0)</f>
        <v/>
      </c>
      <c r="X109" s="52" t="n"/>
      <c r="Y109" s="62" t="n"/>
      <c r="Z109" s="63">
        <f>VLOOKUP(Y109,[1]OTH!A:B,2,0)</f>
        <v/>
      </c>
      <c r="AB109" s="63">
        <f>VLOOKUP(Y109,[1]OTH!$A$1:$C$22,3,0)</f>
        <v/>
      </c>
      <c r="AF109" s="64">
        <f>G109*H109</f>
        <v/>
      </c>
      <c r="AI109" s="65" t="n"/>
      <c r="AJ109" s="66">
        <f>ROUND(I109,2)</f>
        <v/>
      </c>
      <c r="AK109" s="40" t="inlineStr">
        <is>
          <t>x</t>
        </is>
      </c>
      <c r="AL109" s="67" t="n"/>
      <c r="AM109" s="40" t="inlineStr">
        <is>
          <t>x</t>
        </is>
      </c>
      <c r="AN109" s="13" t="n">
        <v>0</v>
      </c>
      <c r="AO109" s="13" t="n">
        <v>0</v>
      </c>
      <c r="AP109" s="13">
        <f>AN109+AO109</f>
        <v/>
      </c>
      <c r="AQ109" s="13">
        <f>AP109*G109</f>
        <v/>
      </c>
    </row>
    <row r="110" ht="10.25" customFormat="1" customHeight="1" s="9">
      <c r="B110" s="52" t="n"/>
      <c r="C110" s="52" t="n"/>
      <c r="D110" s="69" t="n"/>
      <c r="E110" s="52" t="n"/>
      <c r="F110" s="52" t="n"/>
      <c r="G110" s="54" t="n"/>
      <c r="H110" s="55" t="n"/>
      <c r="I110" s="56" t="n"/>
      <c r="J110" s="57" t="n"/>
      <c r="K110" s="58" t="n"/>
      <c r="L110" s="56" t="n"/>
      <c r="M110" s="59" t="n"/>
      <c r="N110" s="60" t="n"/>
      <c r="O110" s="60" t="n"/>
      <c r="P110" s="61" t="n"/>
      <c r="Q110" s="52" t="n"/>
      <c r="R110" s="52" t="n"/>
      <c r="S110" s="52" t="n"/>
      <c r="T110" s="52">
        <f>VLOOKUP(S110,'[1]COUNTRY LIST2'!$B$2:$G$254,2,0)</f>
        <v/>
      </c>
      <c r="U110" s="52">
        <f>VLOOKUP(S110,'[1]COUNTRY LIST2'!$B$2:$G$254,3,0)</f>
        <v/>
      </c>
      <c r="V110" s="52">
        <f>VLOOKUP(S110,'[1]COUNTRY LIST2'!$B$2:$G$254,6,0)</f>
        <v/>
      </c>
      <c r="W110" s="52">
        <f>VLOOKUP(S110,'[1]COUNTRY LIST2'!$B$2:$G$254,5,0)</f>
        <v/>
      </c>
      <c r="X110" s="52" t="n"/>
      <c r="Y110" s="62" t="n"/>
      <c r="Z110" s="63">
        <f>VLOOKUP(Y110,[1]OTH!A:B,2,0)</f>
        <v/>
      </c>
      <c r="AB110" s="63">
        <f>VLOOKUP(Y110,[1]OTH!$A$1:$C$22,3,0)</f>
        <v/>
      </c>
      <c r="AF110" s="64">
        <f>G110*H110</f>
        <v/>
      </c>
      <c r="AI110" s="65" t="n"/>
      <c r="AJ110" s="66">
        <f>ROUND(I110,2)</f>
        <v/>
      </c>
      <c r="AK110" s="40" t="inlineStr">
        <is>
          <t>x</t>
        </is>
      </c>
      <c r="AL110" s="67" t="n"/>
      <c r="AM110" s="40" t="inlineStr">
        <is>
          <t>x</t>
        </is>
      </c>
      <c r="AN110" s="13" t="n">
        <v>0</v>
      </c>
      <c r="AO110" s="13" t="n">
        <v>0</v>
      </c>
      <c r="AP110" s="13">
        <f>AN110+AO110</f>
        <v/>
      </c>
      <c r="AQ110" s="13">
        <f>AP110*G110</f>
        <v/>
      </c>
    </row>
    <row r="111" ht="10.25" customFormat="1" customHeight="1" s="9">
      <c r="B111" s="52" t="n"/>
      <c r="C111" s="52" t="n"/>
      <c r="D111" s="69" t="n"/>
      <c r="E111" s="52" t="n"/>
      <c r="F111" s="52" t="n"/>
      <c r="G111" s="54" t="n"/>
      <c r="H111" s="55" t="n"/>
      <c r="I111" s="56" t="n"/>
      <c r="J111" s="57" t="n"/>
      <c r="K111" s="58" t="n"/>
      <c r="L111" s="56" t="n"/>
      <c r="M111" s="59" t="n"/>
      <c r="N111" s="60" t="n"/>
      <c r="O111" s="60" t="n"/>
      <c r="P111" s="61" t="n"/>
      <c r="Q111" s="52" t="n"/>
      <c r="R111" s="52" t="n"/>
      <c r="S111" s="52" t="n"/>
      <c r="T111" s="52">
        <f>VLOOKUP(S111,'[1]COUNTRY LIST2'!$B$2:$G$254,2,0)</f>
        <v/>
      </c>
      <c r="U111" s="52">
        <f>VLOOKUP(S111,'[1]COUNTRY LIST2'!$B$2:$G$254,3,0)</f>
        <v/>
      </c>
      <c r="V111" s="52">
        <f>VLOOKUP(S111,'[1]COUNTRY LIST2'!$B$2:$G$254,6,0)</f>
        <v/>
      </c>
      <c r="W111" s="52">
        <f>VLOOKUP(S111,'[1]COUNTRY LIST2'!$B$2:$G$254,5,0)</f>
        <v/>
      </c>
      <c r="X111" s="52" t="n"/>
      <c r="Y111" s="62" t="n"/>
      <c r="Z111" s="63">
        <f>VLOOKUP(Y111,[1]OTH!A:B,2,0)</f>
        <v/>
      </c>
      <c r="AB111" s="63">
        <f>VLOOKUP(Y111,[1]OTH!$A$1:$C$22,3,0)</f>
        <v/>
      </c>
      <c r="AF111" s="64">
        <f>G111*H111</f>
        <v/>
      </c>
      <c r="AI111" s="65" t="n"/>
      <c r="AJ111" s="66">
        <f>ROUND(I111,2)</f>
        <v/>
      </c>
      <c r="AK111" s="40" t="inlineStr">
        <is>
          <t>x</t>
        </is>
      </c>
      <c r="AL111" s="67" t="n"/>
      <c r="AM111" s="40" t="inlineStr">
        <is>
          <t>x</t>
        </is>
      </c>
      <c r="AN111" s="13" t="n">
        <v>0</v>
      </c>
      <c r="AO111" s="13" t="n">
        <v>0</v>
      </c>
      <c r="AP111" s="13">
        <f>AN111+AO111</f>
        <v/>
      </c>
      <c r="AQ111" s="13">
        <f>AP111*G111</f>
        <v/>
      </c>
    </row>
    <row r="112" ht="10.25" customFormat="1" customHeight="1" s="9">
      <c r="B112" s="52" t="n"/>
      <c r="C112" s="52" t="n"/>
      <c r="D112" s="69" t="n"/>
      <c r="E112" s="52" t="n"/>
      <c r="F112" s="52" t="n"/>
      <c r="G112" s="54" t="n"/>
      <c r="H112" s="55" t="n"/>
      <c r="I112" s="56" t="n"/>
      <c r="J112" s="57" t="n"/>
      <c r="K112" s="58" t="n"/>
      <c r="L112" s="56" t="n"/>
      <c r="M112" s="59" t="n"/>
      <c r="N112" s="60" t="n"/>
      <c r="O112" s="60" t="n"/>
      <c r="P112" s="61" t="n"/>
      <c r="Q112" s="52" t="n"/>
      <c r="R112" s="52" t="n"/>
      <c r="S112" s="52" t="n"/>
      <c r="T112" s="52">
        <f>VLOOKUP(S112,'[1]COUNTRY LIST2'!$B$2:$G$254,2,0)</f>
        <v/>
      </c>
      <c r="U112" s="52">
        <f>VLOOKUP(S112,'[1]COUNTRY LIST2'!$B$2:$G$254,3,0)</f>
        <v/>
      </c>
      <c r="V112" s="52">
        <f>VLOOKUP(S112,'[1]COUNTRY LIST2'!$B$2:$G$254,6,0)</f>
        <v/>
      </c>
      <c r="W112" s="52">
        <f>VLOOKUP(S112,'[1]COUNTRY LIST2'!$B$2:$G$254,5,0)</f>
        <v/>
      </c>
      <c r="X112" s="52" t="n"/>
      <c r="Y112" s="62" t="n"/>
      <c r="Z112" s="63">
        <f>VLOOKUP(Y112,[1]OTH!A:B,2,0)</f>
        <v/>
      </c>
      <c r="AB112" s="63">
        <f>VLOOKUP(Y112,[1]OTH!$A$1:$C$22,3,0)</f>
        <v/>
      </c>
      <c r="AF112" s="64">
        <f>G112*H112</f>
        <v/>
      </c>
      <c r="AI112" s="65" t="n"/>
      <c r="AJ112" s="66">
        <f>ROUND(I112,2)</f>
        <v/>
      </c>
      <c r="AK112" s="40" t="inlineStr">
        <is>
          <t>x</t>
        </is>
      </c>
      <c r="AL112" s="67" t="n"/>
      <c r="AM112" s="40" t="inlineStr">
        <is>
          <t>x</t>
        </is>
      </c>
      <c r="AN112" s="13" t="n">
        <v>0</v>
      </c>
      <c r="AO112" s="13" t="n">
        <v>0</v>
      </c>
      <c r="AP112" s="13">
        <f>AN112+AO112</f>
        <v/>
      </c>
      <c r="AQ112" s="13">
        <f>AP112*G112</f>
        <v/>
      </c>
    </row>
    <row r="113" ht="10.25" customFormat="1" customHeight="1" s="9">
      <c r="B113" s="52" t="n"/>
      <c r="C113" s="52" t="n"/>
      <c r="D113" s="69" t="n"/>
      <c r="E113" s="52" t="n"/>
      <c r="F113" s="52" t="n"/>
      <c r="G113" s="71" t="n"/>
      <c r="H113" s="55" t="n"/>
      <c r="I113" s="56" t="n"/>
      <c r="J113" s="57" t="n"/>
      <c r="K113" s="58" t="n"/>
      <c r="L113" s="56" t="n"/>
      <c r="M113" s="59" t="n"/>
      <c r="N113" s="60" t="n"/>
      <c r="O113" s="60" t="n"/>
      <c r="P113" s="61" t="n"/>
      <c r="Q113" s="52" t="n"/>
      <c r="R113" s="52" t="n"/>
      <c r="S113" s="52" t="n"/>
      <c r="T113" s="52">
        <f>VLOOKUP(S113,'[1]COUNTRY LIST2'!$B$2:$G$254,2,0)</f>
        <v/>
      </c>
      <c r="U113" s="52">
        <f>VLOOKUP(S113,'[1]COUNTRY LIST2'!$B$2:$G$254,3,0)</f>
        <v/>
      </c>
      <c r="V113" s="52">
        <f>VLOOKUP(S113,'[1]COUNTRY LIST2'!$B$2:$G$254,6,0)</f>
        <v/>
      </c>
      <c r="W113" s="52">
        <f>VLOOKUP(S113,'[1]COUNTRY LIST2'!$B$2:$G$254,5,0)</f>
        <v/>
      </c>
      <c r="X113" s="52" t="n"/>
      <c r="Y113" s="62" t="n"/>
      <c r="Z113" s="63">
        <f>VLOOKUP(Y113,[1]OTH!A:B,2,0)</f>
        <v/>
      </c>
      <c r="AB113" s="63">
        <f>VLOOKUP(Y113,[1]OTH!$A$1:$C$22,3,0)</f>
        <v/>
      </c>
      <c r="AF113" s="64">
        <f>G113*H113</f>
        <v/>
      </c>
      <c r="AI113" s="65" t="n"/>
      <c r="AJ113" s="66">
        <f>ROUND(I113,2)</f>
        <v/>
      </c>
      <c r="AK113" s="40" t="inlineStr">
        <is>
          <t>x</t>
        </is>
      </c>
      <c r="AL113" s="67" t="n"/>
      <c r="AM113" s="40" t="inlineStr">
        <is>
          <t>x</t>
        </is>
      </c>
      <c r="AN113" s="13" t="n">
        <v>0</v>
      </c>
      <c r="AO113" s="13" t="n">
        <v>0</v>
      </c>
      <c r="AP113" s="13">
        <f>AN113+AO113</f>
        <v/>
      </c>
      <c r="AQ113" s="13">
        <f>AP113*G113</f>
        <v/>
      </c>
    </row>
    <row r="114" ht="10.25" customFormat="1" customHeight="1" s="9">
      <c r="B114" s="52" t="n"/>
      <c r="C114" s="52" t="n"/>
      <c r="D114" s="69" t="n"/>
      <c r="E114" s="52" t="n"/>
      <c r="F114" s="52" t="n"/>
      <c r="G114" s="71" t="n"/>
      <c r="H114" s="55" t="n"/>
      <c r="I114" s="56" t="n"/>
      <c r="J114" s="57" t="n"/>
      <c r="K114" s="58" t="n"/>
      <c r="L114" s="56" t="n"/>
      <c r="M114" s="59" t="n"/>
      <c r="N114" s="60" t="n"/>
      <c r="O114" s="60" t="n"/>
      <c r="P114" s="61" t="n"/>
      <c r="Q114" s="52" t="n"/>
      <c r="R114" s="52" t="n"/>
      <c r="S114" s="52" t="n"/>
      <c r="T114" s="52">
        <f>VLOOKUP(S114,'[1]COUNTRY LIST2'!$B$2:$G$254,2,0)</f>
        <v/>
      </c>
      <c r="U114" s="52">
        <f>VLOOKUP(S114,'[1]COUNTRY LIST2'!$B$2:$G$254,3,0)</f>
        <v/>
      </c>
      <c r="V114" s="52">
        <f>VLOOKUP(S114,'[1]COUNTRY LIST2'!$B$2:$G$254,6,0)</f>
        <v/>
      </c>
      <c r="W114" s="52">
        <f>VLOOKUP(S114,'[1]COUNTRY LIST2'!$B$2:$G$254,5,0)</f>
        <v/>
      </c>
      <c r="X114" s="52" t="n"/>
      <c r="Y114" s="62" t="n"/>
      <c r="Z114" s="63">
        <f>VLOOKUP(Y114,[1]OTH!A:B,2,0)</f>
        <v/>
      </c>
      <c r="AB114" s="63">
        <f>VLOOKUP(Y114,[1]OTH!$A$1:$C$22,3,0)</f>
        <v/>
      </c>
      <c r="AF114" s="64">
        <f>G114*H114</f>
        <v/>
      </c>
      <c r="AI114" s="65" t="n"/>
      <c r="AJ114" s="66">
        <f>ROUND(I114,2)</f>
        <v/>
      </c>
      <c r="AK114" s="40" t="inlineStr">
        <is>
          <t>x</t>
        </is>
      </c>
      <c r="AL114" s="67" t="n"/>
      <c r="AM114" s="40" t="inlineStr">
        <is>
          <t>x</t>
        </is>
      </c>
      <c r="AN114" s="13" t="n">
        <v>0</v>
      </c>
      <c r="AO114" s="13" t="n">
        <v>0</v>
      </c>
      <c r="AP114" s="13">
        <f>AN114+AO114</f>
        <v/>
      </c>
      <c r="AQ114" s="13">
        <f>AP114*G114</f>
        <v/>
      </c>
    </row>
    <row r="115" ht="10.25" customFormat="1" customHeight="1" s="9">
      <c r="B115" s="52" t="n"/>
      <c r="C115" s="52" t="n"/>
      <c r="D115" s="69" t="n"/>
      <c r="E115" s="52" t="n"/>
      <c r="F115" s="52" t="n"/>
      <c r="G115" s="71" t="n"/>
      <c r="H115" s="55" t="n"/>
      <c r="I115" s="56" t="n"/>
      <c r="J115" s="57" t="n"/>
      <c r="K115" s="58" t="n"/>
      <c r="L115" s="56" t="n"/>
      <c r="M115" s="59" t="n"/>
      <c r="N115" s="60" t="n"/>
      <c r="O115" s="60" t="n"/>
      <c r="P115" s="61" t="n"/>
      <c r="Q115" s="52" t="n"/>
      <c r="R115" s="52" t="n"/>
      <c r="S115" s="52" t="n"/>
      <c r="T115" s="52">
        <f>VLOOKUP(S115,'[1]COUNTRY LIST2'!$B$2:$G$254,2,0)</f>
        <v/>
      </c>
      <c r="U115" s="52">
        <f>VLOOKUP(S115,'[1]COUNTRY LIST2'!$B$2:$G$254,3,0)</f>
        <v/>
      </c>
      <c r="V115" s="52">
        <f>VLOOKUP(S115,'[1]COUNTRY LIST2'!$B$2:$G$254,6,0)</f>
        <v/>
      </c>
      <c r="W115" s="52">
        <f>VLOOKUP(S115,'[1]COUNTRY LIST2'!$B$2:$G$254,5,0)</f>
        <v/>
      </c>
      <c r="X115" s="52" t="n"/>
      <c r="Y115" s="62" t="n"/>
      <c r="Z115" s="63">
        <f>VLOOKUP(Y115,[1]OTH!A:B,2,0)</f>
        <v/>
      </c>
      <c r="AB115" s="63">
        <f>VLOOKUP(Y115,[1]OTH!$A$1:$C$22,3,0)</f>
        <v/>
      </c>
      <c r="AF115" s="64">
        <f>G115*H115</f>
        <v/>
      </c>
      <c r="AI115" s="65" t="n"/>
      <c r="AJ115" s="66">
        <f>ROUND(I115,2)</f>
        <v/>
      </c>
      <c r="AK115" s="40" t="inlineStr">
        <is>
          <t>x</t>
        </is>
      </c>
      <c r="AL115" s="67" t="n"/>
      <c r="AM115" s="40" t="inlineStr">
        <is>
          <t>x</t>
        </is>
      </c>
      <c r="AN115" s="13" t="n">
        <v>0</v>
      </c>
      <c r="AO115" s="13" t="n">
        <v>0</v>
      </c>
      <c r="AP115" s="13">
        <f>AN115+AO115</f>
        <v/>
      </c>
      <c r="AQ115" s="13">
        <f>AP115*G115</f>
        <v/>
      </c>
    </row>
    <row r="116" ht="10.25" customFormat="1" customHeight="1" s="9">
      <c r="B116" s="52" t="n"/>
      <c r="C116" s="52" t="n"/>
      <c r="D116" s="69" t="n"/>
      <c r="E116" s="52" t="n"/>
      <c r="F116" s="52" t="n"/>
      <c r="G116" s="71" t="n"/>
      <c r="H116" s="55" t="n"/>
      <c r="I116" s="56" t="n"/>
      <c r="J116" s="57" t="n"/>
      <c r="K116" s="58" t="n"/>
      <c r="L116" s="56" t="n"/>
      <c r="M116" s="59" t="n"/>
      <c r="N116" s="60" t="n"/>
      <c r="O116" s="60" t="n"/>
      <c r="P116" s="61" t="n"/>
      <c r="Q116" s="52" t="n"/>
      <c r="R116" s="52" t="n"/>
      <c r="S116" s="52" t="n"/>
      <c r="T116" s="52">
        <f>VLOOKUP(S116,'[1]COUNTRY LIST2'!$B$2:$G$254,2,0)</f>
        <v/>
      </c>
      <c r="U116" s="52">
        <f>VLOOKUP(S116,'[1]COUNTRY LIST2'!$B$2:$G$254,3,0)</f>
        <v/>
      </c>
      <c r="V116" s="52">
        <f>VLOOKUP(S116,'[1]COUNTRY LIST2'!$B$2:$G$254,6,0)</f>
        <v/>
      </c>
      <c r="W116" s="52">
        <f>VLOOKUP(S116,'[1]COUNTRY LIST2'!$B$2:$G$254,5,0)</f>
        <v/>
      </c>
      <c r="X116" s="52" t="n"/>
      <c r="Y116" s="62" t="n"/>
      <c r="Z116" s="63">
        <f>VLOOKUP(Y116,[1]OTH!A:B,2,0)</f>
        <v/>
      </c>
      <c r="AB116" s="63">
        <f>VLOOKUP(Y116,[1]OTH!$A$1:$C$22,3,0)</f>
        <v/>
      </c>
      <c r="AF116" s="64">
        <f>G116*H116</f>
        <v/>
      </c>
      <c r="AI116" s="65" t="n"/>
      <c r="AJ116" s="66">
        <f>ROUND(I116,2)</f>
        <v/>
      </c>
      <c r="AK116" s="40" t="inlineStr">
        <is>
          <t>x</t>
        </is>
      </c>
      <c r="AL116" s="67" t="n"/>
      <c r="AM116" s="40" t="inlineStr">
        <is>
          <t>x</t>
        </is>
      </c>
      <c r="AN116" s="13" t="n">
        <v>0</v>
      </c>
      <c r="AO116" s="13" t="n">
        <v>0</v>
      </c>
      <c r="AP116" s="13">
        <f>AN116+AO116</f>
        <v/>
      </c>
      <c r="AQ116" s="13">
        <f>AP116*G116</f>
        <v/>
      </c>
    </row>
    <row r="117" ht="10.25" customFormat="1" customHeight="1" s="9">
      <c r="B117" s="52" t="n"/>
      <c r="C117" s="52" t="n"/>
      <c r="D117" s="69" t="n"/>
      <c r="E117" s="52" t="n"/>
      <c r="F117" s="52" t="n"/>
      <c r="G117" s="71" t="n"/>
      <c r="H117" s="55" t="n"/>
      <c r="I117" s="56" t="n"/>
      <c r="J117" s="57" t="n"/>
      <c r="K117" s="58" t="n"/>
      <c r="L117" s="56" t="n"/>
      <c r="M117" s="59" t="n"/>
      <c r="N117" s="60" t="n"/>
      <c r="O117" s="60" t="n"/>
      <c r="P117" s="61" t="n"/>
      <c r="Q117" s="52" t="n"/>
      <c r="R117" s="52" t="n"/>
      <c r="S117" s="52" t="n"/>
      <c r="T117" s="52">
        <f>VLOOKUP(S117,'[1]COUNTRY LIST2'!$B$2:$G$254,2,0)</f>
        <v/>
      </c>
      <c r="U117" s="52">
        <f>VLOOKUP(S117,'[1]COUNTRY LIST2'!$B$2:$G$254,3,0)</f>
        <v/>
      </c>
      <c r="V117" s="52">
        <f>VLOOKUP(S117,'[1]COUNTRY LIST2'!$B$2:$G$254,6,0)</f>
        <v/>
      </c>
      <c r="W117" s="52">
        <f>VLOOKUP(S117,'[1]COUNTRY LIST2'!$B$2:$G$254,5,0)</f>
        <v/>
      </c>
      <c r="X117" s="52" t="n"/>
      <c r="Y117" s="62" t="n"/>
      <c r="Z117" s="63">
        <f>VLOOKUP(Y117,[1]OTH!A:B,2,0)</f>
        <v/>
      </c>
      <c r="AB117" s="63">
        <f>VLOOKUP(Y117,[1]OTH!$A$1:$C$22,3,0)</f>
        <v/>
      </c>
      <c r="AF117" s="64">
        <f>G117*H117</f>
        <v/>
      </c>
      <c r="AI117" s="65" t="n"/>
      <c r="AJ117" s="66">
        <f>ROUND(I117,2)</f>
        <v/>
      </c>
      <c r="AK117" s="40" t="inlineStr">
        <is>
          <t>x</t>
        </is>
      </c>
      <c r="AL117" s="67" t="n"/>
      <c r="AM117" s="40" t="inlineStr">
        <is>
          <t>x</t>
        </is>
      </c>
      <c r="AN117" s="13" t="n">
        <v>0</v>
      </c>
      <c r="AO117" s="13" t="n">
        <v>0</v>
      </c>
      <c r="AP117" s="13">
        <f>AN117+AO117</f>
        <v/>
      </c>
      <c r="AQ117" s="13">
        <f>AP117*G117</f>
        <v/>
      </c>
    </row>
    <row r="118" ht="10.25" customFormat="1" customHeight="1" s="9">
      <c r="B118" s="52" t="n"/>
      <c r="C118" s="52" t="n"/>
      <c r="D118" s="69" t="n"/>
      <c r="E118" s="52" t="n"/>
      <c r="F118" s="52" t="n"/>
      <c r="G118" s="71" t="n"/>
      <c r="H118" s="55" t="n"/>
      <c r="I118" s="56" t="n"/>
      <c r="J118" s="57" t="n"/>
      <c r="K118" s="58" t="n"/>
      <c r="L118" s="56" t="n"/>
      <c r="M118" s="59" t="n"/>
      <c r="N118" s="60" t="n"/>
      <c r="O118" s="60" t="n"/>
      <c r="P118" s="61" t="n"/>
      <c r="Q118" s="52" t="n"/>
      <c r="R118" s="52" t="n"/>
      <c r="S118" s="52" t="n"/>
      <c r="T118" s="52">
        <f>VLOOKUP(S118,'[1]COUNTRY LIST2'!$B$2:$G$254,2,0)</f>
        <v/>
      </c>
      <c r="U118" s="52">
        <f>VLOOKUP(S118,'[1]COUNTRY LIST2'!$B$2:$G$254,3,0)</f>
        <v/>
      </c>
      <c r="V118" s="52">
        <f>VLOOKUP(S118,'[1]COUNTRY LIST2'!$B$2:$G$254,6,0)</f>
        <v/>
      </c>
      <c r="W118" s="52">
        <f>VLOOKUP(S118,'[1]COUNTRY LIST2'!$B$2:$G$254,5,0)</f>
        <v/>
      </c>
      <c r="X118" s="52" t="n"/>
      <c r="Y118" s="62" t="n"/>
      <c r="Z118" s="63">
        <f>VLOOKUP(Y118,[1]OTH!A:B,2,0)</f>
        <v/>
      </c>
      <c r="AB118" s="63">
        <f>VLOOKUP(Y118,[1]OTH!$A$1:$C$22,3,0)</f>
        <v/>
      </c>
      <c r="AF118" s="64">
        <f>G118*H118</f>
        <v/>
      </c>
      <c r="AI118" s="65" t="n"/>
      <c r="AJ118" s="66">
        <f>ROUND(I118,2)</f>
        <v/>
      </c>
      <c r="AK118" s="40" t="inlineStr">
        <is>
          <t>x</t>
        </is>
      </c>
      <c r="AL118" s="67" t="n"/>
      <c r="AM118" s="40" t="inlineStr">
        <is>
          <t>x</t>
        </is>
      </c>
      <c r="AN118" s="13" t="n">
        <v>0</v>
      </c>
      <c r="AO118" s="13" t="n">
        <v>0</v>
      </c>
      <c r="AP118" s="13">
        <f>AN118+AO118</f>
        <v/>
      </c>
      <c r="AQ118" s="13">
        <f>AP118*G118</f>
        <v/>
      </c>
    </row>
    <row r="119" ht="10.25" customFormat="1" customHeight="1" s="9">
      <c r="B119" s="52" t="n"/>
      <c r="C119" s="52" t="n"/>
      <c r="D119" s="69" t="n"/>
      <c r="E119" s="52" t="n"/>
      <c r="F119" s="52" t="n"/>
      <c r="G119" s="71" t="n"/>
      <c r="H119" s="55" t="n"/>
      <c r="I119" s="56" t="n"/>
      <c r="J119" s="57" t="n"/>
      <c r="K119" s="58" t="n"/>
      <c r="L119" s="56" t="n"/>
      <c r="M119" s="59" t="n"/>
      <c r="N119" s="60" t="n"/>
      <c r="O119" s="60" t="n"/>
      <c r="P119" s="61" t="n"/>
      <c r="Q119" s="52" t="n"/>
      <c r="R119" s="52" t="n"/>
      <c r="S119" s="52" t="n"/>
      <c r="T119" s="52">
        <f>VLOOKUP(S119,'[1]COUNTRY LIST2'!$B$2:$G$254,2,0)</f>
        <v/>
      </c>
      <c r="U119" s="52">
        <f>VLOOKUP(S119,'[1]COUNTRY LIST2'!$B$2:$G$254,3,0)</f>
        <v/>
      </c>
      <c r="V119" s="52">
        <f>VLOOKUP(S119,'[1]COUNTRY LIST2'!$B$2:$G$254,6,0)</f>
        <v/>
      </c>
      <c r="W119" s="52">
        <f>VLOOKUP(S119,'[1]COUNTRY LIST2'!$B$2:$G$254,5,0)</f>
        <v/>
      </c>
      <c r="X119" s="52" t="n"/>
      <c r="Y119" s="62" t="n"/>
      <c r="Z119" s="63">
        <f>VLOOKUP(Y119,[1]OTH!A:B,2,0)</f>
        <v/>
      </c>
      <c r="AB119" s="63">
        <f>VLOOKUP(Y119,[1]OTH!$A$1:$C$22,3,0)</f>
        <v/>
      </c>
      <c r="AF119" s="64">
        <f>G119*H119</f>
        <v/>
      </c>
      <c r="AI119" s="65" t="n"/>
      <c r="AJ119" s="66">
        <f>ROUND(I119,2)</f>
        <v/>
      </c>
      <c r="AK119" s="40" t="inlineStr">
        <is>
          <t>x</t>
        </is>
      </c>
      <c r="AL119" s="67" t="n"/>
      <c r="AM119" s="40" t="inlineStr">
        <is>
          <t>x</t>
        </is>
      </c>
      <c r="AN119" s="13" t="n">
        <v>0</v>
      </c>
      <c r="AO119" s="13" t="n">
        <v>0</v>
      </c>
      <c r="AP119" s="13">
        <f>AN119+AO119</f>
        <v/>
      </c>
      <c r="AQ119" s="13">
        <f>AP119*G119</f>
        <v/>
      </c>
    </row>
    <row r="120" ht="10.25" customFormat="1" customHeight="1" s="9">
      <c r="B120" s="52" t="n"/>
      <c r="C120" s="52" t="n"/>
      <c r="D120" s="69" t="n"/>
      <c r="E120" s="52" t="n"/>
      <c r="F120" s="52" t="n"/>
      <c r="G120" s="71" t="n"/>
      <c r="H120" s="55" t="n"/>
      <c r="I120" s="56" t="n"/>
      <c r="J120" s="57" t="n"/>
      <c r="K120" s="58" t="n"/>
      <c r="L120" s="56" t="n"/>
      <c r="M120" s="59" t="n"/>
      <c r="N120" s="60" t="n"/>
      <c r="O120" s="60" t="n"/>
      <c r="P120" s="61" t="n"/>
      <c r="Q120" s="52" t="n"/>
      <c r="R120" s="52" t="n"/>
      <c r="S120" s="52" t="n"/>
      <c r="T120" s="52">
        <f>VLOOKUP(S120,'[1]COUNTRY LIST2'!$B$2:$G$254,2,0)</f>
        <v/>
      </c>
      <c r="U120" s="52">
        <f>VLOOKUP(S120,'[1]COUNTRY LIST2'!$B$2:$G$254,3,0)</f>
        <v/>
      </c>
      <c r="V120" s="52">
        <f>VLOOKUP(S120,'[1]COUNTRY LIST2'!$B$2:$G$254,6,0)</f>
        <v/>
      </c>
      <c r="W120" s="52">
        <f>VLOOKUP(S120,'[1]COUNTRY LIST2'!$B$2:$G$254,5,0)</f>
        <v/>
      </c>
      <c r="X120" s="52" t="n"/>
      <c r="Y120" s="62" t="n"/>
      <c r="Z120" s="63">
        <f>VLOOKUP(Y120,[1]OTH!A:B,2,0)</f>
        <v/>
      </c>
      <c r="AB120" s="63">
        <f>VLOOKUP(Y120,[1]OTH!$A$1:$C$22,3,0)</f>
        <v/>
      </c>
      <c r="AF120" s="64">
        <f>G120*H120</f>
        <v/>
      </c>
      <c r="AI120" s="65" t="n"/>
      <c r="AJ120" s="66">
        <f>ROUND(I120,2)</f>
        <v/>
      </c>
      <c r="AK120" s="40" t="inlineStr">
        <is>
          <t>x</t>
        </is>
      </c>
      <c r="AL120" s="67" t="n"/>
      <c r="AM120" s="40" t="inlineStr">
        <is>
          <t>x</t>
        </is>
      </c>
      <c r="AN120" s="13" t="n">
        <v>0</v>
      </c>
      <c r="AO120" s="13" t="n">
        <v>0</v>
      </c>
      <c r="AP120" s="13">
        <f>AN120+AO120</f>
        <v/>
      </c>
      <c r="AQ120" s="13">
        <f>AP120*G120</f>
        <v/>
      </c>
    </row>
    <row r="121" ht="10.25" customFormat="1" customHeight="1" s="9">
      <c r="B121" s="52" t="n"/>
      <c r="C121" s="52" t="n"/>
      <c r="D121" s="69" t="n"/>
      <c r="E121" s="52" t="n"/>
      <c r="F121" s="52" t="n"/>
      <c r="G121" s="71" t="n"/>
      <c r="H121" s="55" t="n"/>
      <c r="I121" s="56" t="n"/>
      <c r="J121" s="57" t="n"/>
      <c r="K121" s="58" t="n"/>
      <c r="L121" s="56" t="n"/>
      <c r="M121" s="59" t="n"/>
      <c r="N121" s="60" t="n"/>
      <c r="O121" s="60" t="n"/>
      <c r="P121" s="61" t="n"/>
      <c r="Q121" s="52" t="n"/>
      <c r="R121" s="52" t="n"/>
      <c r="S121" s="52" t="n"/>
      <c r="T121" s="52">
        <f>VLOOKUP(S121,'[1]COUNTRY LIST2'!$B$2:$G$254,2,0)</f>
        <v/>
      </c>
      <c r="U121" s="52">
        <f>VLOOKUP(S121,'[1]COUNTRY LIST2'!$B$2:$G$254,3,0)</f>
        <v/>
      </c>
      <c r="V121" s="52">
        <f>VLOOKUP(S121,'[1]COUNTRY LIST2'!$B$2:$G$254,6,0)</f>
        <v/>
      </c>
      <c r="W121" s="52">
        <f>VLOOKUP(S121,'[1]COUNTRY LIST2'!$B$2:$G$254,5,0)</f>
        <v/>
      </c>
      <c r="X121" s="52" t="n"/>
      <c r="Y121" s="62" t="n"/>
      <c r="Z121" s="63">
        <f>VLOOKUP(Y121,[1]OTH!A:B,2,0)</f>
        <v/>
      </c>
      <c r="AB121" s="63">
        <f>VLOOKUP(Y121,[1]OTH!$A$1:$C$22,3,0)</f>
        <v/>
      </c>
      <c r="AF121" s="64">
        <f>G121*H121</f>
        <v/>
      </c>
      <c r="AI121" s="65" t="n"/>
      <c r="AJ121" s="66">
        <f>ROUND(I121,2)</f>
        <v/>
      </c>
      <c r="AK121" s="40" t="inlineStr">
        <is>
          <t>x</t>
        </is>
      </c>
      <c r="AL121" s="67" t="n"/>
      <c r="AM121" s="40" t="inlineStr">
        <is>
          <t>x</t>
        </is>
      </c>
      <c r="AN121" s="13" t="n">
        <v>0</v>
      </c>
      <c r="AO121" s="13" t="n">
        <v>0</v>
      </c>
      <c r="AP121" s="13">
        <f>AN121+AO121</f>
        <v/>
      </c>
      <c r="AQ121" s="13">
        <f>AP121*G121</f>
        <v/>
      </c>
    </row>
    <row r="122" ht="10.25" customFormat="1" customHeight="1" s="9">
      <c r="B122" s="52" t="n"/>
      <c r="C122" s="52" t="n"/>
      <c r="D122" s="69" t="n"/>
      <c r="E122" s="52" t="n"/>
      <c r="F122" s="52" t="n"/>
      <c r="G122" s="71" t="n"/>
      <c r="H122" s="55" t="n"/>
      <c r="I122" s="56" t="n"/>
      <c r="J122" s="57" t="n"/>
      <c r="K122" s="58" t="n"/>
      <c r="L122" s="56" t="n"/>
      <c r="M122" s="59" t="n"/>
      <c r="N122" s="60" t="n"/>
      <c r="O122" s="60" t="n"/>
      <c r="P122" s="61" t="n"/>
      <c r="Q122" s="52" t="n"/>
      <c r="R122" s="52" t="n"/>
      <c r="S122" s="52" t="n"/>
      <c r="T122" s="52">
        <f>VLOOKUP(S122,'[1]COUNTRY LIST2'!$B$2:$G$254,2,0)</f>
        <v/>
      </c>
      <c r="U122" s="52">
        <f>VLOOKUP(S122,'[1]COUNTRY LIST2'!$B$2:$G$254,3,0)</f>
        <v/>
      </c>
      <c r="V122" s="52">
        <f>VLOOKUP(S122,'[1]COUNTRY LIST2'!$B$2:$G$254,6,0)</f>
        <v/>
      </c>
      <c r="W122" s="52">
        <f>VLOOKUP(S122,'[1]COUNTRY LIST2'!$B$2:$G$254,5,0)</f>
        <v/>
      </c>
      <c r="X122" s="52" t="n"/>
      <c r="Y122" s="62" t="n"/>
      <c r="Z122" s="63">
        <f>VLOOKUP(Y122,[1]OTH!A:B,2,0)</f>
        <v/>
      </c>
      <c r="AB122" s="63">
        <f>VLOOKUP(Y122,[1]OTH!$A$1:$C$22,3,0)</f>
        <v/>
      </c>
      <c r="AF122" s="64">
        <f>G122*H122</f>
        <v/>
      </c>
      <c r="AI122" s="65" t="n"/>
      <c r="AJ122" s="66">
        <f>ROUND(I122,2)</f>
        <v/>
      </c>
      <c r="AK122" s="40" t="inlineStr">
        <is>
          <t>x</t>
        </is>
      </c>
      <c r="AL122" s="67" t="n"/>
      <c r="AM122" s="40" t="inlineStr">
        <is>
          <t>x</t>
        </is>
      </c>
      <c r="AN122" s="13" t="n">
        <v>0</v>
      </c>
      <c r="AO122" s="13" t="n">
        <v>0</v>
      </c>
      <c r="AP122" s="13">
        <f>AN122+AO122</f>
        <v/>
      </c>
      <c r="AQ122" s="13">
        <f>AP122*G122</f>
        <v/>
      </c>
    </row>
    <row r="123" ht="10.25" customFormat="1" customHeight="1" s="9">
      <c r="B123" s="52" t="n"/>
      <c r="C123" s="52" t="n"/>
      <c r="D123" s="69" t="n"/>
      <c r="E123" s="52" t="n"/>
      <c r="F123" s="52" t="n"/>
      <c r="G123" s="71" t="n"/>
      <c r="H123" s="55" t="n"/>
      <c r="I123" s="56" t="n"/>
      <c r="J123" s="57" t="n"/>
      <c r="K123" s="58" t="n"/>
      <c r="L123" s="56" t="n"/>
      <c r="M123" s="59" t="n"/>
      <c r="N123" s="60" t="n"/>
      <c r="O123" s="60" t="n"/>
      <c r="P123" s="61" t="n"/>
      <c r="Q123" s="52" t="n"/>
      <c r="R123" s="52" t="n"/>
      <c r="S123" s="52" t="n"/>
      <c r="T123" s="52">
        <f>VLOOKUP(S123,'[1]COUNTRY LIST2'!$B$2:$G$254,2,0)</f>
        <v/>
      </c>
      <c r="U123" s="52">
        <f>VLOOKUP(S123,'[1]COUNTRY LIST2'!$B$2:$G$254,3,0)</f>
        <v/>
      </c>
      <c r="V123" s="52">
        <f>VLOOKUP(S123,'[1]COUNTRY LIST2'!$B$2:$G$254,6,0)</f>
        <v/>
      </c>
      <c r="W123" s="52">
        <f>VLOOKUP(S123,'[1]COUNTRY LIST2'!$B$2:$G$254,5,0)</f>
        <v/>
      </c>
      <c r="X123" s="52" t="n"/>
      <c r="Y123" s="62" t="n"/>
      <c r="Z123" s="63">
        <f>VLOOKUP(Y123,[1]OTH!A:B,2,0)</f>
        <v/>
      </c>
      <c r="AB123" s="63">
        <f>VLOOKUP(Y123,[1]OTH!$A$1:$C$22,3,0)</f>
        <v/>
      </c>
      <c r="AF123" s="64">
        <f>G123*H123</f>
        <v/>
      </c>
      <c r="AI123" s="65" t="n"/>
      <c r="AJ123" s="66">
        <f>ROUND(I123,2)</f>
        <v/>
      </c>
      <c r="AK123" s="40" t="inlineStr">
        <is>
          <t>x</t>
        </is>
      </c>
      <c r="AL123" s="67" t="n"/>
      <c r="AM123" s="40" t="inlineStr">
        <is>
          <t>x</t>
        </is>
      </c>
      <c r="AN123" s="13" t="n">
        <v>0</v>
      </c>
      <c r="AO123" s="13" t="n">
        <v>0</v>
      </c>
      <c r="AP123" s="13">
        <f>AN123+AO123</f>
        <v/>
      </c>
      <c r="AQ123" s="13">
        <f>AP123*G123</f>
        <v/>
      </c>
    </row>
    <row r="124" ht="10.25" customFormat="1" customHeight="1" s="9">
      <c r="B124" s="52" t="n"/>
      <c r="C124" s="52" t="n"/>
      <c r="D124" s="69" t="n"/>
      <c r="E124" s="52" t="n"/>
      <c r="F124" s="52" t="n"/>
      <c r="G124" s="71" t="n"/>
      <c r="H124" s="55" t="n"/>
      <c r="I124" s="56" t="n"/>
      <c r="J124" s="57" t="n"/>
      <c r="K124" s="58" t="n"/>
      <c r="L124" s="56" t="n"/>
      <c r="M124" s="59" t="n"/>
      <c r="N124" s="60" t="n"/>
      <c r="O124" s="60" t="n"/>
      <c r="P124" s="61" t="n"/>
      <c r="Q124" s="52" t="n"/>
      <c r="R124" s="52" t="n"/>
      <c r="S124" s="52" t="n"/>
      <c r="T124" s="52">
        <f>VLOOKUP(S124,'[1]COUNTRY LIST2'!$B$2:$G$254,2,0)</f>
        <v/>
      </c>
      <c r="U124" s="52">
        <f>VLOOKUP(S124,'[1]COUNTRY LIST2'!$B$2:$G$254,3,0)</f>
        <v/>
      </c>
      <c r="V124" s="52">
        <f>VLOOKUP(S124,'[1]COUNTRY LIST2'!$B$2:$G$254,6,0)</f>
        <v/>
      </c>
      <c r="W124" s="52">
        <f>VLOOKUP(S124,'[1]COUNTRY LIST2'!$B$2:$G$254,5,0)</f>
        <v/>
      </c>
      <c r="X124" s="52" t="n"/>
      <c r="Y124" s="62" t="n"/>
      <c r="Z124" s="63">
        <f>VLOOKUP(Y124,[1]OTH!A:B,2,0)</f>
        <v/>
      </c>
      <c r="AB124" s="63">
        <f>VLOOKUP(Y124,[1]OTH!$A$1:$C$22,3,0)</f>
        <v/>
      </c>
      <c r="AF124" s="64">
        <f>G124*H124</f>
        <v/>
      </c>
      <c r="AI124" s="65" t="n"/>
      <c r="AJ124" s="66">
        <f>ROUND(I124,2)</f>
        <v/>
      </c>
      <c r="AK124" s="40" t="inlineStr">
        <is>
          <t>x</t>
        </is>
      </c>
      <c r="AL124" s="67" t="n"/>
      <c r="AM124" s="40" t="inlineStr">
        <is>
          <t>x</t>
        </is>
      </c>
      <c r="AN124" s="13" t="n">
        <v>0</v>
      </c>
      <c r="AO124" s="13" t="n">
        <v>0</v>
      </c>
      <c r="AP124" s="13">
        <f>AN124+AO124</f>
        <v/>
      </c>
      <c r="AQ124" s="13">
        <f>AP124*G124</f>
        <v/>
      </c>
    </row>
    <row r="125" ht="10.25" customFormat="1" customHeight="1" s="9">
      <c r="B125" s="52" t="n"/>
      <c r="C125" s="52" t="n"/>
      <c r="D125" s="69" t="n"/>
      <c r="E125" s="52" t="n"/>
      <c r="F125" s="52" t="n"/>
      <c r="G125" s="71" t="n"/>
      <c r="H125" s="55" t="n"/>
      <c r="I125" s="56" t="n"/>
      <c r="J125" s="57" t="n"/>
      <c r="K125" s="58" t="n"/>
      <c r="L125" s="56" t="n"/>
      <c r="M125" s="59" t="n"/>
      <c r="N125" s="60" t="n"/>
      <c r="O125" s="60" t="n"/>
      <c r="P125" s="61" t="n"/>
      <c r="Q125" s="52" t="n"/>
      <c r="R125" s="52" t="n"/>
      <c r="S125" s="52" t="n"/>
      <c r="T125" s="52">
        <f>VLOOKUP(S125,'[1]COUNTRY LIST2'!$B$2:$G$254,2,0)</f>
        <v/>
      </c>
      <c r="U125" s="52">
        <f>VLOOKUP(S125,'[1]COUNTRY LIST2'!$B$2:$G$254,3,0)</f>
        <v/>
      </c>
      <c r="V125" s="52">
        <f>VLOOKUP(S125,'[1]COUNTRY LIST2'!$B$2:$G$254,6,0)</f>
        <v/>
      </c>
      <c r="W125" s="52">
        <f>VLOOKUP(S125,'[1]COUNTRY LIST2'!$B$2:$G$254,5,0)</f>
        <v/>
      </c>
      <c r="X125" s="52" t="n"/>
      <c r="Y125" s="62" t="n"/>
      <c r="Z125" s="63">
        <f>VLOOKUP(Y125,[1]OTH!A:B,2,0)</f>
        <v/>
      </c>
      <c r="AB125" s="63">
        <f>VLOOKUP(Y125,[1]OTH!$A$1:$C$22,3,0)</f>
        <v/>
      </c>
      <c r="AF125" s="64">
        <f>G125*H125</f>
        <v/>
      </c>
      <c r="AI125" s="65" t="n"/>
      <c r="AJ125" s="66">
        <f>ROUND(I125,2)</f>
        <v/>
      </c>
      <c r="AK125" s="40" t="inlineStr">
        <is>
          <t>x</t>
        </is>
      </c>
      <c r="AL125" s="67" t="n"/>
      <c r="AM125" s="40" t="inlineStr">
        <is>
          <t>x</t>
        </is>
      </c>
      <c r="AN125" s="13" t="n">
        <v>0</v>
      </c>
      <c r="AO125" s="13" t="n">
        <v>0</v>
      </c>
      <c r="AP125" s="13">
        <f>AN125+AO125</f>
        <v/>
      </c>
      <c r="AQ125" s="13">
        <f>AP125*G125</f>
        <v/>
      </c>
    </row>
    <row r="126" ht="10.25" customFormat="1" customHeight="1" s="9">
      <c r="B126" s="52" t="n"/>
      <c r="C126" s="52" t="n"/>
      <c r="D126" s="69" t="n"/>
      <c r="E126" s="52" t="n"/>
      <c r="F126" s="52" t="n"/>
      <c r="G126" s="71" t="n"/>
      <c r="H126" s="55" t="n"/>
      <c r="I126" s="56" t="n"/>
      <c r="J126" s="57" t="n"/>
      <c r="K126" s="58" t="n"/>
      <c r="L126" s="56" t="n"/>
      <c r="M126" s="59" t="n"/>
      <c r="N126" s="60" t="n"/>
      <c r="O126" s="60" t="n"/>
      <c r="P126" s="61" t="n"/>
      <c r="Q126" s="52" t="n"/>
      <c r="R126" s="52" t="n"/>
      <c r="S126" s="52" t="n"/>
      <c r="T126" s="52">
        <f>VLOOKUP(S126,'[1]COUNTRY LIST2'!$B$2:$G$254,2,0)</f>
        <v/>
      </c>
      <c r="U126" s="52">
        <f>VLOOKUP(S126,'[1]COUNTRY LIST2'!$B$2:$G$254,3,0)</f>
        <v/>
      </c>
      <c r="V126" s="52">
        <f>VLOOKUP(S126,'[1]COUNTRY LIST2'!$B$2:$G$254,6,0)</f>
        <v/>
      </c>
      <c r="W126" s="52">
        <f>VLOOKUP(S126,'[1]COUNTRY LIST2'!$B$2:$G$254,5,0)</f>
        <v/>
      </c>
      <c r="X126" s="52" t="n"/>
      <c r="Y126" s="62" t="n"/>
      <c r="Z126" s="63">
        <f>VLOOKUP(Y126,[1]OTH!A:B,2,0)</f>
        <v/>
      </c>
      <c r="AB126" s="63">
        <f>VLOOKUP(Y126,[1]OTH!$A$1:$C$22,3,0)</f>
        <v/>
      </c>
      <c r="AF126" s="64">
        <f>G126*H126</f>
        <v/>
      </c>
      <c r="AI126" s="65" t="n"/>
      <c r="AJ126" s="66">
        <f>ROUND(I126,2)</f>
        <v/>
      </c>
      <c r="AK126" s="40" t="inlineStr">
        <is>
          <t>x</t>
        </is>
      </c>
      <c r="AL126" s="67" t="n"/>
      <c r="AM126" s="40" t="inlineStr">
        <is>
          <t>x</t>
        </is>
      </c>
      <c r="AN126" s="13" t="n">
        <v>0</v>
      </c>
      <c r="AO126" s="13" t="n">
        <v>0</v>
      </c>
      <c r="AP126" s="13">
        <f>AN126+AO126</f>
        <v/>
      </c>
      <c r="AQ126" s="13">
        <f>AP126*G126</f>
        <v/>
      </c>
    </row>
    <row r="127" ht="10.25" customFormat="1" customHeight="1" s="9">
      <c r="B127" s="52" t="n"/>
      <c r="C127" s="52" t="n"/>
      <c r="D127" s="69" t="n"/>
      <c r="E127" s="52" t="n"/>
      <c r="F127" s="52" t="n"/>
      <c r="G127" s="71" t="n"/>
      <c r="H127" s="55" t="n"/>
      <c r="I127" s="56" t="n"/>
      <c r="J127" s="57" t="n"/>
      <c r="K127" s="58" t="n"/>
      <c r="L127" s="56" t="n"/>
      <c r="M127" s="59" t="n"/>
      <c r="N127" s="60" t="n"/>
      <c r="O127" s="60" t="n"/>
      <c r="P127" s="61" t="n"/>
      <c r="Q127" s="52" t="n"/>
      <c r="R127" s="52" t="n"/>
      <c r="S127" s="52" t="n"/>
      <c r="T127" s="52">
        <f>VLOOKUP(S127,'[1]COUNTRY LIST2'!$B$2:$G$254,2,0)</f>
        <v/>
      </c>
      <c r="U127" s="52">
        <f>VLOOKUP(S127,'[1]COUNTRY LIST2'!$B$2:$G$254,3,0)</f>
        <v/>
      </c>
      <c r="V127" s="52">
        <f>VLOOKUP(S127,'[1]COUNTRY LIST2'!$B$2:$G$254,6,0)</f>
        <v/>
      </c>
      <c r="W127" s="52">
        <f>VLOOKUP(S127,'[1]COUNTRY LIST2'!$B$2:$G$254,5,0)</f>
        <v/>
      </c>
      <c r="X127" s="52" t="n"/>
      <c r="Y127" s="62" t="n"/>
      <c r="Z127" s="63">
        <f>VLOOKUP(Y127,[1]OTH!A:B,2,0)</f>
        <v/>
      </c>
      <c r="AB127" s="63">
        <f>VLOOKUP(Y127,[1]OTH!$A$1:$C$22,3,0)</f>
        <v/>
      </c>
      <c r="AF127" s="64">
        <f>G127*H127</f>
        <v/>
      </c>
      <c r="AI127" s="65" t="n"/>
      <c r="AJ127" s="66">
        <f>ROUND(I127,2)</f>
        <v/>
      </c>
      <c r="AK127" s="40" t="inlineStr">
        <is>
          <t>x</t>
        </is>
      </c>
      <c r="AL127" s="67" t="n"/>
      <c r="AM127" s="40" t="inlineStr">
        <is>
          <t>x</t>
        </is>
      </c>
      <c r="AN127" s="13" t="n">
        <v>0</v>
      </c>
      <c r="AO127" s="13" t="n">
        <v>0</v>
      </c>
      <c r="AP127" s="13">
        <f>AN127+AO127</f>
        <v/>
      </c>
      <c r="AQ127" s="13">
        <f>AP127*G127</f>
        <v/>
      </c>
    </row>
    <row r="128" ht="10.25" customFormat="1" customHeight="1" s="9">
      <c r="B128" s="52" t="n"/>
      <c r="C128" s="52" t="n"/>
      <c r="D128" s="69" t="n"/>
      <c r="E128" s="52" t="n"/>
      <c r="F128" s="52" t="n"/>
      <c r="G128" s="71" t="n"/>
      <c r="H128" s="55" t="n"/>
      <c r="I128" s="56" t="n"/>
      <c r="J128" s="57" t="n"/>
      <c r="K128" s="58" t="n"/>
      <c r="L128" s="56" t="n"/>
      <c r="M128" s="59" t="n"/>
      <c r="N128" s="60" t="n"/>
      <c r="O128" s="60" t="n"/>
      <c r="P128" s="61" t="n"/>
      <c r="Q128" s="52" t="n"/>
      <c r="R128" s="52" t="n"/>
      <c r="S128" s="52" t="n"/>
      <c r="T128" s="52">
        <f>VLOOKUP(S128,'[1]COUNTRY LIST2'!$B$2:$G$254,2,0)</f>
        <v/>
      </c>
      <c r="U128" s="52">
        <f>VLOOKUP(S128,'[1]COUNTRY LIST2'!$B$2:$G$254,3,0)</f>
        <v/>
      </c>
      <c r="V128" s="52">
        <f>VLOOKUP(S128,'[1]COUNTRY LIST2'!$B$2:$G$254,6,0)</f>
        <v/>
      </c>
      <c r="W128" s="52">
        <f>VLOOKUP(S128,'[1]COUNTRY LIST2'!$B$2:$G$254,5,0)</f>
        <v/>
      </c>
      <c r="X128" s="52" t="n"/>
      <c r="Y128" s="62" t="n"/>
      <c r="Z128" s="63">
        <f>VLOOKUP(Y128,[1]OTH!A:B,2,0)</f>
        <v/>
      </c>
      <c r="AB128" s="63">
        <f>VLOOKUP(Y128,[1]OTH!$A$1:$C$22,3,0)</f>
        <v/>
      </c>
      <c r="AF128" s="64">
        <f>G128*H128</f>
        <v/>
      </c>
      <c r="AI128" s="65" t="n"/>
      <c r="AJ128" s="66">
        <f>ROUND(I128,2)</f>
        <v/>
      </c>
      <c r="AK128" s="40" t="inlineStr">
        <is>
          <t>x</t>
        </is>
      </c>
      <c r="AL128" s="67" t="n"/>
      <c r="AM128" s="40" t="inlineStr">
        <is>
          <t>x</t>
        </is>
      </c>
      <c r="AN128" s="13" t="n">
        <v>0</v>
      </c>
      <c r="AO128" s="13" t="n">
        <v>0</v>
      </c>
      <c r="AP128" s="13">
        <f>AN128+AO128</f>
        <v/>
      </c>
      <c r="AQ128" s="13">
        <f>AP128*G128</f>
        <v/>
      </c>
    </row>
    <row r="129" ht="10.25" customFormat="1" customHeight="1" s="9">
      <c r="B129" s="52" t="n"/>
      <c r="C129" s="52" t="n"/>
      <c r="D129" s="69" t="n"/>
      <c r="E129" s="52" t="n"/>
      <c r="F129" s="52" t="n"/>
      <c r="G129" s="71" t="n"/>
      <c r="H129" s="55" t="n"/>
      <c r="I129" s="56" t="n"/>
      <c r="J129" s="57" t="n"/>
      <c r="K129" s="58" t="n"/>
      <c r="L129" s="56" t="n"/>
      <c r="M129" s="59" t="n"/>
      <c r="N129" s="60" t="n"/>
      <c r="O129" s="60" t="n"/>
      <c r="P129" s="61" t="n"/>
      <c r="Q129" s="52" t="n"/>
      <c r="R129" s="52" t="n"/>
      <c r="S129" s="52" t="n"/>
      <c r="T129" s="52">
        <f>VLOOKUP(S129,'[1]COUNTRY LIST2'!$B$2:$G$254,2,0)</f>
        <v/>
      </c>
      <c r="U129" s="52">
        <f>VLOOKUP(S129,'[1]COUNTRY LIST2'!$B$2:$G$254,3,0)</f>
        <v/>
      </c>
      <c r="V129" s="52">
        <f>VLOOKUP(S129,'[1]COUNTRY LIST2'!$B$2:$G$254,6,0)</f>
        <v/>
      </c>
      <c r="W129" s="52">
        <f>VLOOKUP(S129,'[1]COUNTRY LIST2'!$B$2:$G$254,5,0)</f>
        <v/>
      </c>
      <c r="X129" s="52" t="n"/>
      <c r="Y129" s="62" t="n"/>
      <c r="Z129" s="63">
        <f>VLOOKUP(Y129,[1]OTH!A:B,2,0)</f>
        <v/>
      </c>
      <c r="AB129" s="63">
        <f>VLOOKUP(Y129,[1]OTH!$A$1:$C$22,3,0)</f>
        <v/>
      </c>
      <c r="AF129" s="64">
        <f>G129*H129</f>
        <v/>
      </c>
      <c r="AI129" s="65" t="n"/>
      <c r="AJ129" s="66">
        <f>ROUND(I129,2)</f>
        <v/>
      </c>
      <c r="AK129" s="40" t="inlineStr">
        <is>
          <t>x</t>
        </is>
      </c>
      <c r="AL129" s="67" t="n"/>
      <c r="AM129" s="40" t="inlineStr">
        <is>
          <t>x</t>
        </is>
      </c>
      <c r="AN129" s="13" t="n">
        <v>0</v>
      </c>
      <c r="AO129" s="13" t="n">
        <v>0</v>
      </c>
      <c r="AP129" s="13">
        <f>AN129+AO129</f>
        <v/>
      </c>
      <c r="AQ129" s="13">
        <f>AP129*G129</f>
        <v/>
      </c>
    </row>
    <row r="130" ht="10.25" customFormat="1" customHeight="1" s="9">
      <c r="B130" s="52" t="n"/>
      <c r="C130" s="52" t="n"/>
      <c r="D130" s="69" t="n"/>
      <c r="E130" s="52" t="n"/>
      <c r="F130" s="52" t="n"/>
      <c r="G130" s="71" t="n"/>
      <c r="H130" s="55" t="n"/>
      <c r="I130" s="56" t="n"/>
      <c r="J130" s="57" t="n"/>
      <c r="K130" s="58" t="n"/>
      <c r="L130" s="56" t="n"/>
      <c r="M130" s="59" t="n"/>
      <c r="N130" s="60" t="n"/>
      <c r="O130" s="60" t="n"/>
      <c r="P130" s="61" t="n"/>
      <c r="Q130" s="52" t="n"/>
      <c r="R130" s="52" t="n"/>
      <c r="S130" s="52" t="n"/>
      <c r="T130" s="52">
        <f>VLOOKUP(S130,'[1]COUNTRY LIST2'!$B$2:$G$254,2,0)</f>
        <v/>
      </c>
      <c r="U130" s="52">
        <f>VLOOKUP(S130,'[1]COUNTRY LIST2'!$B$2:$G$254,3,0)</f>
        <v/>
      </c>
      <c r="V130" s="52">
        <f>VLOOKUP(S130,'[1]COUNTRY LIST2'!$B$2:$G$254,6,0)</f>
        <v/>
      </c>
      <c r="W130" s="52">
        <f>VLOOKUP(S130,'[1]COUNTRY LIST2'!$B$2:$G$254,5,0)</f>
        <v/>
      </c>
      <c r="X130" s="52" t="n"/>
      <c r="Y130" s="62" t="n"/>
      <c r="Z130" s="63">
        <f>VLOOKUP(Y130,[1]OTH!A:B,2,0)</f>
        <v/>
      </c>
      <c r="AB130" s="63">
        <f>VLOOKUP(Y130,[1]OTH!$A$1:$C$22,3,0)</f>
        <v/>
      </c>
      <c r="AF130" s="64">
        <f>G130*H130</f>
        <v/>
      </c>
      <c r="AI130" s="65" t="n"/>
      <c r="AJ130" s="66">
        <f>ROUND(I130,2)</f>
        <v/>
      </c>
      <c r="AK130" s="40" t="inlineStr">
        <is>
          <t>x</t>
        </is>
      </c>
      <c r="AL130" s="67" t="n"/>
      <c r="AM130" s="40" t="inlineStr">
        <is>
          <t>x</t>
        </is>
      </c>
      <c r="AN130" s="13" t="n">
        <v>0</v>
      </c>
      <c r="AO130" s="13" t="n">
        <v>0</v>
      </c>
      <c r="AP130" s="13">
        <f>AN130+AO130</f>
        <v/>
      </c>
      <c r="AQ130" s="13">
        <f>AP130*G130</f>
        <v/>
      </c>
    </row>
    <row r="131" ht="10.25" customFormat="1" customHeight="1" s="9">
      <c r="B131" s="52" t="n"/>
      <c r="C131" s="52" t="n"/>
      <c r="D131" s="69" t="n"/>
      <c r="E131" s="52" t="n"/>
      <c r="F131" s="52" t="n"/>
      <c r="G131" s="71" t="n"/>
      <c r="H131" s="55" t="n"/>
      <c r="I131" s="56" t="n"/>
      <c r="J131" s="57" t="n"/>
      <c r="K131" s="58" t="n"/>
      <c r="L131" s="56" t="n"/>
      <c r="M131" s="59" t="n"/>
      <c r="N131" s="60" t="n"/>
      <c r="O131" s="60" t="n"/>
      <c r="P131" s="61" t="n"/>
      <c r="Q131" s="52" t="n"/>
      <c r="R131" s="52" t="n"/>
      <c r="S131" s="52" t="n"/>
      <c r="T131" s="52">
        <f>VLOOKUP(S131,'[1]COUNTRY LIST2'!$B$2:$G$254,2,0)</f>
        <v/>
      </c>
      <c r="U131" s="52">
        <f>VLOOKUP(S131,'[1]COUNTRY LIST2'!$B$2:$G$254,3,0)</f>
        <v/>
      </c>
      <c r="V131" s="52">
        <f>VLOOKUP(S131,'[1]COUNTRY LIST2'!$B$2:$G$254,6,0)</f>
        <v/>
      </c>
      <c r="W131" s="52">
        <f>VLOOKUP(S131,'[1]COUNTRY LIST2'!$B$2:$G$254,5,0)</f>
        <v/>
      </c>
      <c r="X131" s="52" t="n"/>
      <c r="Y131" s="62" t="n"/>
      <c r="Z131" s="63">
        <f>VLOOKUP(Y131,[1]OTH!A:B,2,0)</f>
        <v/>
      </c>
      <c r="AB131" s="63">
        <f>VLOOKUP(Y131,[1]OTH!$A$1:$C$22,3,0)</f>
        <v/>
      </c>
      <c r="AF131" s="64">
        <f>G131*H131</f>
        <v/>
      </c>
      <c r="AI131" s="65" t="n"/>
      <c r="AJ131" s="66">
        <f>ROUND(I131,2)</f>
        <v/>
      </c>
      <c r="AK131" s="40" t="inlineStr">
        <is>
          <t>x</t>
        </is>
      </c>
      <c r="AL131" s="67" t="n"/>
      <c r="AM131" s="40" t="inlineStr">
        <is>
          <t>x</t>
        </is>
      </c>
      <c r="AN131" s="13" t="n">
        <v>0</v>
      </c>
      <c r="AO131" s="13" t="n">
        <v>0</v>
      </c>
      <c r="AP131" s="13">
        <f>AN131+AO131</f>
        <v/>
      </c>
      <c r="AQ131" s="13">
        <f>AP131*G131</f>
        <v/>
      </c>
    </row>
    <row r="132" ht="10.25" customFormat="1" customHeight="1" s="9">
      <c r="B132" s="52" t="n"/>
      <c r="C132" s="52" t="n"/>
      <c r="D132" s="69" t="n"/>
      <c r="E132" s="52" t="n"/>
      <c r="F132" s="52" t="n"/>
      <c r="G132" s="71" t="n"/>
      <c r="H132" s="55" t="n"/>
      <c r="I132" s="56" t="n"/>
      <c r="J132" s="57" t="n"/>
      <c r="K132" s="58" t="n"/>
      <c r="L132" s="56" t="n"/>
      <c r="M132" s="59" t="n"/>
      <c r="N132" s="60" t="n"/>
      <c r="O132" s="60" t="n"/>
      <c r="P132" s="61" t="n"/>
      <c r="Q132" s="52" t="n"/>
      <c r="R132" s="52" t="n"/>
      <c r="S132" s="52" t="n"/>
      <c r="T132" s="52">
        <f>VLOOKUP(S132,'[1]COUNTRY LIST2'!$B$2:$G$254,2,0)</f>
        <v/>
      </c>
      <c r="U132" s="52">
        <f>VLOOKUP(S132,'[1]COUNTRY LIST2'!$B$2:$G$254,3,0)</f>
        <v/>
      </c>
      <c r="V132" s="52">
        <f>VLOOKUP(S132,'[1]COUNTRY LIST2'!$B$2:$G$254,6,0)</f>
        <v/>
      </c>
      <c r="W132" s="52">
        <f>VLOOKUP(S132,'[1]COUNTRY LIST2'!$B$2:$G$254,5,0)</f>
        <v/>
      </c>
      <c r="X132" s="52" t="n"/>
      <c r="Y132" s="62" t="n"/>
      <c r="Z132" s="63">
        <f>VLOOKUP(Y132,[1]OTH!A:B,2,0)</f>
        <v/>
      </c>
      <c r="AB132" s="63">
        <f>VLOOKUP(Y132,[1]OTH!$A$1:$C$22,3,0)</f>
        <v/>
      </c>
      <c r="AF132" s="64">
        <f>G132*H132</f>
        <v/>
      </c>
      <c r="AI132" s="65" t="n"/>
      <c r="AJ132" s="66">
        <f>ROUND(I132,2)</f>
        <v/>
      </c>
      <c r="AK132" s="40" t="inlineStr">
        <is>
          <t>x</t>
        </is>
      </c>
      <c r="AL132" s="67" t="n"/>
      <c r="AM132" s="40" t="inlineStr">
        <is>
          <t>x</t>
        </is>
      </c>
      <c r="AN132" s="13" t="n">
        <v>0</v>
      </c>
      <c r="AO132" s="13" t="n">
        <v>0</v>
      </c>
      <c r="AP132" s="13">
        <f>AN132+AO132</f>
        <v/>
      </c>
      <c r="AQ132" s="13">
        <f>AP132*G132</f>
        <v/>
      </c>
    </row>
    <row r="133" ht="10.25" customFormat="1" customHeight="1" s="9">
      <c r="B133" s="52" t="n"/>
      <c r="C133" s="52" t="n"/>
      <c r="D133" s="52" t="n"/>
      <c r="E133" s="52" t="n"/>
      <c r="F133" s="52" t="n"/>
      <c r="G133" s="71" t="n"/>
      <c r="H133" s="55" t="n"/>
      <c r="I133" s="56" t="n"/>
      <c r="J133" s="57" t="n"/>
      <c r="K133" s="58" t="n"/>
      <c r="L133" s="56" t="n"/>
      <c r="M133" s="59" t="n"/>
      <c r="N133" s="60" t="n"/>
      <c r="O133" s="60" t="n"/>
      <c r="P133" s="61" t="n"/>
      <c r="Q133" s="52" t="n"/>
      <c r="R133" s="52" t="n"/>
      <c r="S133" s="52" t="n"/>
      <c r="T133" s="52">
        <f>VLOOKUP(S133,'[1]COUNTRY LIST2'!$B$2:$G$254,2,0)</f>
        <v/>
      </c>
      <c r="U133" s="52">
        <f>VLOOKUP(S133,'[1]COUNTRY LIST2'!$B$2:$G$254,3,0)</f>
        <v/>
      </c>
      <c r="V133" s="52">
        <f>VLOOKUP(S133,'[1]COUNTRY LIST2'!$B$2:$G$254,6,0)</f>
        <v/>
      </c>
      <c r="W133" s="52">
        <f>VLOOKUP(S133,'[1]COUNTRY LIST2'!$B$2:$G$254,5,0)</f>
        <v/>
      </c>
      <c r="X133" s="52" t="n"/>
      <c r="Y133" s="62" t="n"/>
      <c r="Z133" s="63">
        <f>VLOOKUP(Y133,[1]OTH!A:B,2,0)</f>
        <v/>
      </c>
      <c r="AB133" s="63">
        <f>VLOOKUP(Y133,[1]OTH!$A$1:$C$22,3,0)</f>
        <v/>
      </c>
      <c r="AF133" s="64">
        <f>G133*H133</f>
        <v/>
      </c>
      <c r="AI133" s="65" t="n"/>
      <c r="AJ133" s="66">
        <f>ROUND(I133,2)</f>
        <v/>
      </c>
      <c r="AK133" s="40" t="inlineStr">
        <is>
          <t>x</t>
        </is>
      </c>
      <c r="AL133" s="67" t="n"/>
      <c r="AM133" s="40" t="inlineStr">
        <is>
          <t>x</t>
        </is>
      </c>
      <c r="AN133" s="13" t="n">
        <v>0</v>
      </c>
      <c r="AO133" s="13" t="n">
        <v>0</v>
      </c>
      <c r="AP133" s="13">
        <f>AN133+AO133</f>
        <v/>
      </c>
      <c r="AQ133" s="13">
        <f>AP133*G133</f>
        <v/>
      </c>
    </row>
    <row r="134" ht="10.25" customFormat="1" customHeight="1" s="9">
      <c r="B134" s="52" t="n"/>
      <c r="C134" s="52" t="n"/>
      <c r="D134" s="69" t="n"/>
      <c r="E134" s="52" t="n"/>
      <c r="F134" s="52" t="n"/>
      <c r="G134" s="71" t="n"/>
      <c r="H134" s="55" t="n"/>
      <c r="I134" s="56" t="n"/>
      <c r="J134" s="57" t="n"/>
      <c r="K134" s="58" t="n"/>
      <c r="L134" s="56" t="n"/>
      <c r="M134" s="59" t="n"/>
      <c r="N134" s="60" t="n"/>
      <c r="O134" s="60" t="n"/>
      <c r="P134" s="61" t="n"/>
      <c r="Q134" s="52" t="n"/>
      <c r="R134" s="52" t="n"/>
      <c r="S134" s="52" t="n"/>
      <c r="T134" s="52">
        <f>VLOOKUP(S134,'[1]COUNTRY LIST2'!$B$2:$G$254,2,0)</f>
        <v/>
      </c>
      <c r="U134" s="52">
        <f>VLOOKUP(S134,'[1]COUNTRY LIST2'!$B$2:$G$254,3,0)</f>
        <v/>
      </c>
      <c r="V134" s="52">
        <f>VLOOKUP(S134,'[1]COUNTRY LIST2'!$B$2:$G$254,6,0)</f>
        <v/>
      </c>
      <c r="W134" s="52">
        <f>VLOOKUP(S134,'[1]COUNTRY LIST2'!$B$2:$G$254,5,0)</f>
        <v/>
      </c>
      <c r="X134" s="52" t="n"/>
      <c r="Y134" s="62" t="n"/>
      <c r="Z134" s="63">
        <f>VLOOKUP(Y134,[1]OTH!A:B,2,0)</f>
        <v/>
      </c>
      <c r="AB134" s="63">
        <f>VLOOKUP(Y134,[1]OTH!$A$1:$C$22,3,0)</f>
        <v/>
      </c>
      <c r="AF134" s="64">
        <f>G134*H134</f>
        <v/>
      </c>
      <c r="AI134" s="65" t="n"/>
      <c r="AJ134" s="66">
        <f>ROUND(I134,2)</f>
        <v/>
      </c>
      <c r="AK134" s="40" t="inlineStr">
        <is>
          <t>x</t>
        </is>
      </c>
      <c r="AL134" s="67" t="n"/>
      <c r="AM134" s="40" t="inlineStr">
        <is>
          <t>x</t>
        </is>
      </c>
      <c r="AN134" s="13" t="n">
        <v>0</v>
      </c>
      <c r="AO134" s="13" t="n">
        <v>0</v>
      </c>
      <c r="AP134" s="13">
        <f>AN134+AO134</f>
        <v/>
      </c>
      <c r="AQ134" s="13">
        <f>AP134*G134</f>
        <v/>
      </c>
    </row>
    <row r="135" ht="10.25" customFormat="1" customHeight="1" s="9">
      <c r="B135" s="52" t="n"/>
      <c r="C135" s="52" t="n"/>
      <c r="D135" s="69" t="n"/>
      <c r="E135" s="52" t="n"/>
      <c r="F135" s="52" t="n"/>
      <c r="G135" s="71" t="n"/>
      <c r="H135" s="55" t="n"/>
      <c r="I135" s="56" t="n"/>
      <c r="J135" s="57" t="n"/>
      <c r="K135" s="58" t="n"/>
      <c r="L135" s="56" t="n"/>
      <c r="M135" s="59" t="n"/>
      <c r="N135" s="60" t="n"/>
      <c r="O135" s="60" t="n"/>
      <c r="P135" s="61" t="n"/>
      <c r="Q135" s="52" t="n"/>
      <c r="R135" s="52" t="n"/>
      <c r="S135" s="52" t="n"/>
      <c r="T135" s="52">
        <f>VLOOKUP(S135,'[1]COUNTRY LIST2'!$B$2:$G$254,2,0)</f>
        <v/>
      </c>
      <c r="U135" s="52">
        <f>VLOOKUP(S135,'[1]COUNTRY LIST2'!$B$2:$G$254,3,0)</f>
        <v/>
      </c>
      <c r="V135" s="52">
        <f>VLOOKUP(S135,'[1]COUNTRY LIST2'!$B$2:$G$254,6,0)</f>
        <v/>
      </c>
      <c r="W135" s="52">
        <f>VLOOKUP(S135,'[1]COUNTRY LIST2'!$B$2:$G$254,5,0)</f>
        <v/>
      </c>
      <c r="X135" s="52" t="n"/>
      <c r="Y135" s="62" t="n"/>
      <c r="Z135" s="63">
        <f>VLOOKUP(Y135,[1]OTH!A:B,2,0)</f>
        <v/>
      </c>
      <c r="AB135" s="63">
        <f>VLOOKUP(Y135,[1]OTH!$A$1:$C$22,3,0)</f>
        <v/>
      </c>
      <c r="AF135" s="64">
        <f>G135*H135</f>
        <v/>
      </c>
      <c r="AI135" s="65" t="n"/>
      <c r="AJ135" s="66">
        <f>ROUND(I135,2)</f>
        <v/>
      </c>
      <c r="AK135" s="40" t="inlineStr">
        <is>
          <t>x</t>
        </is>
      </c>
      <c r="AL135" s="67" t="n"/>
      <c r="AM135" s="40" t="inlineStr">
        <is>
          <t>x</t>
        </is>
      </c>
      <c r="AN135" s="13" t="n">
        <v>0</v>
      </c>
      <c r="AO135" s="13" t="n">
        <v>0</v>
      </c>
      <c r="AP135" s="13">
        <f>AN135+AO135</f>
        <v/>
      </c>
      <c r="AQ135" s="13">
        <f>AP135*G135</f>
        <v/>
      </c>
    </row>
    <row r="136" ht="10.25" customFormat="1" customHeight="1" s="9">
      <c r="B136" s="52" t="n"/>
      <c r="C136" s="52" t="n"/>
      <c r="D136" s="69" t="n"/>
      <c r="E136" s="52" t="n"/>
      <c r="F136" s="52" t="n"/>
      <c r="G136" s="71" t="n"/>
      <c r="H136" s="55" t="n"/>
      <c r="I136" s="56" t="n"/>
      <c r="J136" s="57" t="n"/>
      <c r="K136" s="58" t="n"/>
      <c r="L136" s="56" t="n"/>
      <c r="M136" s="59" t="n"/>
      <c r="N136" s="60" t="n"/>
      <c r="O136" s="60" t="n"/>
      <c r="P136" s="61" t="n"/>
      <c r="Q136" s="52" t="n"/>
      <c r="R136" s="52" t="n"/>
      <c r="S136" s="52" t="n"/>
      <c r="T136" s="52">
        <f>VLOOKUP(S136,'[1]COUNTRY LIST2'!$B$2:$G$254,2,0)</f>
        <v/>
      </c>
      <c r="U136" s="52">
        <f>VLOOKUP(S136,'[1]COUNTRY LIST2'!$B$2:$G$254,3,0)</f>
        <v/>
      </c>
      <c r="V136" s="52">
        <f>VLOOKUP(S136,'[1]COUNTRY LIST2'!$B$2:$G$254,6,0)</f>
        <v/>
      </c>
      <c r="W136" s="52">
        <f>VLOOKUP(S136,'[1]COUNTRY LIST2'!$B$2:$G$254,5,0)</f>
        <v/>
      </c>
      <c r="X136" s="52" t="n"/>
      <c r="Y136" s="62" t="n"/>
      <c r="Z136" s="63">
        <f>VLOOKUP(Y136,[1]OTH!A:B,2,0)</f>
        <v/>
      </c>
      <c r="AB136" s="63">
        <f>VLOOKUP(Y136,[1]OTH!$A$1:$C$22,3,0)</f>
        <v/>
      </c>
      <c r="AF136" s="64">
        <f>G136*H136</f>
        <v/>
      </c>
      <c r="AI136" s="65" t="n"/>
      <c r="AJ136" s="66">
        <f>ROUND(I136,2)</f>
        <v/>
      </c>
      <c r="AK136" s="40" t="inlineStr">
        <is>
          <t>x</t>
        </is>
      </c>
      <c r="AL136" s="67" t="n"/>
      <c r="AM136" s="40" t="inlineStr">
        <is>
          <t>x</t>
        </is>
      </c>
      <c r="AN136" s="13" t="n">
        <v>0</v>
      </c>
      <c r="AO136" s="13" t="n">
        <v>0</v>
      </c>
      <c r="AP136" s="13">
        <f>AN136+AO136</f>
        <v/>
      </c>
      <c r="AQ136" s="13">
        <f>AP136*G136</f>
        <v/>
      </c>
    </row>
    <row r="137" ht="10.25" customFormat="1" customHeight="1" s="9">
      <c r="B137" s="52" t="n"/>
      <c r="C137" s="52" t="n"/>
      <c r="D137" s="69" t="n"/>
      <c r="E137" s="52" t="n"/>
      <c r="F137" s="52" t="n"/>
      <c r="G137" s="71" t="n"/>
      <c r="H137" s="55" t="n"/>
      <c r="I137" s="56" t="n"/>
      <c r="J137" s="57" t="n"/>
      <c r="K137" s="58" t="n"/>
      <c r="L137" s="56" t="n"/>
      <c r="M137" s="59" t="n"/>
      <c r="N137" s="60" t="n"/>
      <c r="O137" s="60" t="n"/>
      <c r="P137" s="61" t="n"/>
      <c r="Q137" s="52" t="n"/>
      <c r="R137" s="52" t="n"/>
      <c r="S137" s="52" t="n"/>
      <c r="T137" s="52">
        <f>VLOOKUP(S137,'[1]COUNTRY LIST2'!$B$2:$G$254,2,0)</f>
        <v/>
      </c>
      <c r="U137" s="52">
        <f>VLOOKUP(S137,'[1]COUNTRY LIST2'!$B$2:$G$254,3,0)</f>
        <v/>
      </c>
      <c r="V137" s="52">
        <f>VLOOKUP(S137,'[1]COUNTRY LIST2'!$B$2:$G$254,6,0)</f>
        <v/>
      </c>
      <c r="W137" s="52">
        <f>VLOOKUP(S137,'[1]COUNTRY LIST2'!$B$2:$G$254,5,0)</f>
        <v/>
      </c>
      <c r="X137" s="52" t="n"/>
      <c r="Y137" s="62" t="n"/>
      <c r="Z137" s="63">
        <f>VLOOKUP(Y137,[1]OTH!A:B,2,0)</f>
        <v/>
      </c>
      <c r="AB137" s="63">
        <f>VLOOKUP(Y137,[1]OTH!$A$1:$C$22,3,0)</f>
        <v/>
      </c>
      <c r="AF137" s="64">
        <f>G137*H137</f>
        <v/>
      </c>
      <c r="AI137" s="65" t="n"/>
      <c r="AJ137" s="66">
        <f>ROUND(I137,2)</f>
        <v/>
      </c>
      <c r="AK137" s="40" t="inlineStr">
        <is>
          <t>x</t>
        </is>
      </c>
      <c r="AL137" s="67" t="n"/>
      <c r="AM137" s="40" t="inlineStr">
        <is>
          <t>x</t>
        </is>
      </c>
      <c r="AN137" s="13" t="n">
        <v>0</v>
      </c>
      <c r="AO137" s="13" t="n">
        <v>0</v>
      </c>
      <c r="AP137" s="13">
        <f>AN137+AO137</f>
        <v/>
      </c>
      <c r="AQ137" s="13">
        <f>AP137*G137</f>
        <v/>
      </c>
    </row>
    <row r="138" ht="10.25" customFormat="1" customHeight="1" s="9">
      <c r="B138" s="52" t="n"/>
      <c r="C138" s="52" t="n"/>
      <c r="D138" s="69" t="n"/>
      <c r="E138" s="52" t="n"/>
      <c r="F138" s="52" t="n"/>
      <c r="G138" s="71" t="n"/>
      <c r="H138" s="55" t="n"/>
      <c r="I138" s="56" t="n"/>
      <c r="J138" s="57" t="n"/>
      <c r="K138" s="58" t="n"/>
      <c r="L138" s="56" t="n"/>
      <c r="M138" s="59" t="n"/>
      <c r="N138" s="60" t="n"/>
      <c r="O138" s="60" t="n"/>
      <c r="P138" s="61" t="n"/>
      <c r="Q138" s="52" t="n"/>
      <c r="R138" s="52" t="n"/>
      <c r="S138" s="52" t="n"/>
      <c r="T138" s="52">
        <f>VLOOKUP(S138,'[1]COUNTRY LIST2'!$B$2:$G$254,2,0)</f>
        <v/>
      </c>
      <c r="U138" s="52">
        <f>VLOOKUP(S138,'[1]COUNTRY LIST2'!$B$2:$G$254,3,0)</f>
        <v/>
      </c>
      <c r="V138" s="52">
        <f>VLOOKUP(S138,'[1]COUNTRY LIST2'!$B$2:$G$254,6,0)</f>
        <v/>
      </c>
      <c r="W138" s="52">
        <f>VLOOKUP(S138,'[1]COUNTRY LIST2'!$B$2:$G$254,5,0)</f>
        <v/>
      </c>
      <c r="X138" s="52" t="n"/>
      <c r="Y138" s="62" t="n"/>
      <c r="Z138" s="63">
        <f>VLOOKUP(Y138,[1]OTH!A:B,2,0)</f>
        <v/>
      </c>
      <c r="AB138" s="63">
        <f>VLOOKUP(Y138,[1]OTH!$A$1:$C$22,3,0)</f>
        <v/>
      </c>
      <c r="AF138" s="64">
        <f>G138*H138</f>
        <v/>
      </c>
      <c r="AI138" s="65" t="n"/>
      <c r="AJ138" s="66">
        <f>ROUND(I138,2)</f>
        <v/>
      </c>
      <c r="AK138" s="40" t="inlineStr">
        <is>
          <t>x</t>
        </is>
      </c>
      <c r="AL138" s="67" t="n"/>
      <c r="AM138" s="40" t="inlineStr">
        <is>
          <t>x</t>
        </is>
      </c>
      <c r="AN138" s="13" t="n">
        <v>0</v>
      </c>
      <c r="AO138" s="13" t="n">
        <v>0</v>
      </c>
      <c r="AP138" s="13">
        <f>AN138+AO138</f>
        <v/>
      </c>
      <c r="AQ138" s="13">
        <f>AP138*G138</f>
        <v/>
      </c>
    </row>
    <row r="139" ht="10.25" customFormat="1" customHeight="1" s="9">
      <c r="B139" s="52" t="n"/>
      <c r="C139" s="52" t="n"/>
      <c r="D139" s="69" t="n"/>
      <c r="E139" s="52" t="n"/>
      <c r="F139" s="52" t="n"/>
      <c r="G139" s="71" t="n"/>
      <c r="H139" s="55" t="n"/>
      <c r="I139" s="56" t="n"/>
      <c r="J139" s="57" t="n"/>
      <c r="K139" s="58" t="n"/>
      <c r="L139" s="56" t="n"/>
      <c r="M139" s="59" t="n"/>
      <c r="N139" s="60" t="n"/>
      <c r="O139" s="60" t="n"/>
      <c r="P139" s="61" t="n"/>
      <c r="Q139" s="52" t="n"/>
      <c r="R139" s="52" t="n"/>
      <c r="S139" s="52" t="n"/>
      <c r="T139" s="52">
        <f>VLOOKUP(S139,'[1]COUNTRY LIST2'!$B$2:$G$254,2,0)</f>
        <v/>
      </c>
      <c r="U139" s="52">
        <f>VLOOKUP(S139,'[1]COUNTRY LIST2'!$B$2:$G$254,3,0)</f>
        <v/>
      </c>
      <c r="V139" s="52">
        <f>VLOOKUP(S139,'[1]COUNTRY LIST2'!$B$2:$G$254,6,0)</f>
        <v/>
      </c>
      <c r="W139" s="52">
        <f>VLOOKUP(S139,'[1]COUNTRY LIST2'!$B$2:$G$254,5,0)</f>
        <v/>
      </c>
      <c r="X139" s="52" t="n"/>
      <c r="Y139" s="62" t="n"/>
      <c r="Z139" s="63">
        <f>VLOOKUP(Y139,[1]OTH!A:B,2,0)</f>
        <v/>
      </c>
      <c r="AB139" s="63">
        <f>VLOOKUP(Y139,[1]OTH!$A$1:$C$22,3,0)</f>
        <v/>
      </c>
      <c r="AF139" s="64">
        <f>G139*H139</f>
        <v/>
      </c>
      <c r="AI139" s="65" t="n"/>
      <c r="AJ139" s="66">
        <f>ROUND(I139,2)</f>
        <v/>
      </c>
      <c r="AK139" s="40" t="inlineStr">
        <is>
          <t>x</t>
        </is>
      </c>
      <c r="AL139" s="67" t="n"/>
      <c r="AM139" s="40" t="inlineStr">
        <is>
          <t>x</t>
        </is>
      </c>
      <c r="AN139" s="13" t="n">
        <v>0</v>
      </c>
      <c r="AO139" s="13" t="n">
        <v>0</v>
      </c>
      <c r="AP139" s="13">
        <f>AN139+AO139</f>
        <v/>
      </c>
      <c r="AQ139" s="13">
        <f>AP139*G139</f>
        <v/>
      </c>
    </row>
    <row r="140" ht="10.25" customFormat="1" customHeight="1" s="9">
      <c r="B140" s="52" t="n"/>
      <c r="C140" s="52" t="n"/>
      <c r="D140" s="52" t="n"/>
      <c r="E140" s="52" t="n"/>
      <c r="F140" s="52" t="n"/>
      <c r="G140" s="71" t="n"/>
      <c r="H140" s="55" t="n"/>
      <c r="I140" s="56" t="n"/>
      <c r="J140" s="57" t="n"/>
      <c r="K140" s="58" t="n"/>
      <c r="L140" s="56" t="n"/>
      <c r="M140" s="59" t="n"/>
      <c r="N140" s="60" t="n"/>
      <c r="O140" s="60" t="n"/>
      <c r="P140" s="61" t="n"/>
      <c r="Q140" s="52" t="n"/>
      <c r="R140" s="52" t="n"/>
      <c r="S140" s="52" t="n"/>
      <c r="T140" s="52">
        <f>VLOOKUP(S140,'[1]COUNTRY LIST2'!$B$2:$G$254,2,0)</f>
        <v/>
      </c>
      <c r="U140" s="52">
        <f>VLOOKUP(S140,'[1]COUNTRY LIST2'!$B$2:$G$254,3,0)</f>
        <v/>
      </c>
      <c r="V140" s="52">
        <f>VLOOKUP(S140,'[1]COUNTRY LIST2'!$B$2:$G$254,6,0)</f>
        <v/>
      </c>
      <c r="W140" s="52">
        <f>VLOOKUP(S140,'[1]COUNTRY LIST2'!$B$2:$G$254,5,0)</f>
        <v/>
      </c>
      <c r="X140" s="52" t="n"/>
      <c r="Y140" s="62" t="n"/>
      <c r="Z140" s="63">
        <f>VLOOKUP(Y140,[1]OTH!A:B,2,0)</f>
        <v/>
      </c>
      <c r="AB140" s="63">
        <f>VLOOKUP(Y140,[1]OTH!$A$1:$C$22,3,0)</f>
        <v/>
      </c>
      <c r="AF140" s="64">
        <f>G140*H140</f>
        <v/>
      </c>
      <c r="AI140" s="65" t="n"/>
      <c r="AJ140" s="66">
        <f>ROUND(I140,2)</f>
        <v/>
      </c>
      <c r="AK140" s="40" t="inlineStr">
        <is>
          <t>x</t>
        </is>
      </c>
      <c r="AL140" s="67" t="n"/>
      <c r="AM140" s="40" t="inlineStr">
        <is>
          <t>x</t>
        </is>
      </c>
      <c r="AN140" s="13" t="n">
        <v>0</v>
      </c>
      <c r="AO140" s="13" t="n">
        <v>0</v>
      </c>
      <c r="AP140" s="13">
        <f>AN140+AO140</f>
        <v/>
      </c>
      <c r="AQ140" s="13">
        <f>AP140*G140</f>
        <v/>
      </c>
    </row>
    <row r="141" ht="10.25" customFormat="1" customHeight="1" s="9">
      <c r="B141" s="52" t="n"/>
      <c r="C141" s="52" t="n"/>
      <c r="D141" s="69" t="n"/>
      <c r="E141" s="52" t="n"/>
      <c r="F141" s="52" t="n"/>
      <c r="G141" s="71" t="n"/>
      <c r="H141" s="55" t="n"/>
      <c r="I141" s="56" t="n"/>
      <c r="J141" s="57" t="n"/>
      <c r="K141" s="58" t="n"/>
      <c r="L141" s="56" t="n"/>
      <c r="M141" s="59" t="n"/>
      <c r="N141" s="60" t="n"/>
      <c r="O141" s="60" t="n"/>
      <c r="P141" s="61" t="n"/>
      <c r="Q141" s="52" t="n"/>
      <c r="R141" s="52" t="n"/>
      <c r="S141" s="52" t="n"/>
      <c r="T141" s="52">
        <f>VLOOKUP(S141,'[1]COUNTRY LIST2'!$B$2:$G$254,2,0)</f>
        <v/>
      </c>
      <c r="U141" s="52">
        <f>VLOOKUP(S141,'[1]COUNTRY LIST2'!$B$2:$G$254,3,0)</f>
        <v/>
      </c>
      <c r="V141" s="52">
        <f>VLOOKUP(S141,'[1]COUNTRY LIST2'!$B$2:$G$254,6,0)</f>
        <v/>
      </c>
      <c r="W141" s="52">
        <f>VLOOKUP(S141,'[1]COUNTRY LIST2'!$B$2:$G$254,5,0)</f>
        <v/>
      </c>
      <c r="X141" s="52" t="n"/>
      <c r="Y141" s="62" t="n"/>
      <c r="Z141" s="63">
        <f>VLOOKUP(Y141,[1]OTH!A:B,2,0)</f>
        <v/>
      </c>
      <c r="AB141" s="63">
        <f>VLOOKUP(Y141,[1]OTH!$A$1:$C$22,3,0)</f>
        <v/>
      </c>
      <c r="AF141" s="64">
        <f>G141*H141</f>
        <v/>
      </c>
      <c r="AI141" s="65" t="n"/>
      <c r="AJ141" s="66">
        <f>ROUND(I141,2)</f>
        <v/>
      </c>
      <c r="AK141" s="40" t="inlineStr">
        <is>
          <t>x</t>
        </is>
      </c>
      <c r="AL141" s="67" t="n"/>
      <c r="AM141" s="40" t="inlineStr">
        <is>
          <t>x</t>
        </is>
      </c>
      <c r="AN141" s="13" t="n">
        <v>0</v>
      </c>
      <c r="AO141" s="13" t="n">
        <v>0</v>
      </c>
      <c r="AP141" s="13">
        <f>AN141+AO141</f>
        <v/>
      </c>
      <c r="AQ141" s="13">
        <f>AP141*G141</f>
        <v/>
      </c>
    </row>
    <row r="142" ht="10.25" customFormat="1" customHeight="1" s="9">
      <c r="B142" s="52" t="n"/>
      <c r="C142" s="52" t="n"/>
      <c r="D142" s="69" t="n"/>
      <c r="E142" s="52" t="n"/>
      <c r="F142" s="52" t="n"/>
      <c r="G142" s="71" t="n"/>
      <c r="H142" s="55" t="n"/>
      <c r="I142" s="56" t="n"/>
      <c r="J142" s="57" t="n"/>
      <c r="K142" s="58" t="n"/>
      <c r="L142" s="56" t="n"/>
      <c r="M142" s="59" t="n"/>
      <c r="N142" s="60" t="n"/>
      <c r="O142" s="60" t="n"/>
      <c r="P142" s="61" t="n"/>
      <c r="Q142" s="52" t="n"/>
      <c r="R142" s="52" t="n"/>
      <c r="S142" s="52" t="n"/>
      <c r="T142" s="52">
        <f>VLOOKUP(S142,'[1]COUNTRY LIST2'!$B$2:$G$254,2,0)</f>
        <v/>
      </c>
      <c r="U142" s="52">
        <f>VLOOKUP(S142,'[1]COUNTRY LIST2'!$B$2:$G$254,3,0)</f>
        <v/>
      </c>
      <c r="V142" s="52">
        <f>VLOOKUP(S142,'[1]COUNTRY LIST2'!$B$2:$G$254,6,0)</f>
        <v/>
      </c>
      <c r="W142" s="52">
        <f>VLOOKUP(S142,'[1]COUNTRY LIST2'!$B$2:$G$254,5,0)</f>
        <v/>
      </c>
      <c r="X142" s="52" t="n"/>
      <c r="Y142" s="62" t="n"/>
      <c r="Z142" s="63">
        <f>VLOOKUP(Y142,[1]OTH!A:B,2,0)</f>
        <v/>
      </c>
      <c r="AB142" s="63">
        <f>VLOOKUP(Y142,[1]OTH!$A$1:$C$22,3,0)</f>
        <v/>
      </c>
      <c r="AF142" s="64">
        <f>G142*H142</f>
        <v/>
      </c>
      <c r="AI142" s="65" t="n"/>
      <c r="AJ142" s="66">
        <f>ROUND(I142,2)</f>
        <v/>
      </c>
      <c r="AK142" s="40" t="inlineStr">
        <is>
          <t>x</t>
        </is>
      </c>
      <c r="AL142" s="67" t="n"/>
      <c r="AM142" s="40" t="inlineStr">
        <is>
          <t>x</t>
        </is>
      </c>
      <c r="AN142" s="13" t="n">
        <v>0</v>
      </c>
      <c r="AO142" s="13" t="n">
        <v>0</v>
      </c>
      <c r="AP142" s="13">
        <f>AN142+AO142</f>
        <v/>
      </c>
      <c r="AQ142" s="13">
        <f>AP142*G142</f>
        <v/>
      </c>
    </row>
    <row r="143" ht="10.25" customFormat="1" customHeight="1" s="9">
      <c r="B143" s="52" t="n"/>
      <c r="C143" s="52" t="n"/>
      <c r="D143" s="52" t="n"/>
      <c r="E143" s="52" t="n"/>
      <c r="F143" s="52" t="n"/>
      <c r="G143" s="71" t="n"/>
      <c r="H143" s="55" t="n"/>
      <c r="I143" s="56" t="n"/>
      <c r="J143" s="57" t="n"/>
      <c r="K143" s="58" t="n"/>
      <c r="L143" s="56" t="n"/>
      <c r="M143" s="59" t="n"/>
      <c r="N143" s="60" t="n"/>
      <c r="O143" s="60" t="n"/>
      <c r="P143" s="61" t="n"/>
      <c r="Q143" s="52" t="n"/>
      <c r="R143" s="52" t="n"/>
      <c r="S143" s="52" t="n"/>
      <c r="T143" s="52">
        <f>VLOOKUP(S143,'[1]COUNTRY LIST2'!$B$2:$G$254,2,0)</f>
        <v/>
      </c>
      <c r="U143" s="52">
        <f>VLOOKUP(S143,'[1]COUNTRY LIST2'!$B$2:$G$254,3,0)</f>
        <v/>
      </c>
      <c r="V143" s="52">
        <f>VLOOKUP(S143,'[1]COUNTRY LIST2'!$B$2:$G$254,6,0)</f>
        <v/>
      </c>
      <c r="W143" s="52">
        <f>VLOOKUP(S143,'[1]COUNTRY LIST2'!$B$2:$G$254,5,0)</f>
        <v/>
      </c>
      <c r="X143" s="52" t="n"/>
      <c r="Y143" s="62" t="n"/>
      <c r="Z143" s="63">
        <f>VLOOKUP(Y143,[1]OTH!A:B,2,0)</f>
        <v/>
      </c>
      <c r="AB143" s="63">
        <f>VLOOKUP(Y143,[1]OTH!$A$1:$C$22,3,0)</f>
        <v/>
      </c>
      <c r="AF143" s="64">
        <f>G143*H143</f>
        <v/>
      </c>
      <c r="AI143" s="65" t="n"/>
      <c r="AJ143" s="66">
        <f>ROUND(I143,2)</f>
        <v/>
      </c>
      <c r="AK143" s="40" t="inlineStr">
        <is>
          <t>x</t>
        </is>
      </c>
      <c r="AL143" s="67" t="n"/>
      <c r="AM143" s="40" t="inlineStr">
        <is>
          <t>x</t>
        </is>
      </c>
      <c r="AN143" s="13" t="n">
        <v>0</v>
      </c>
      <c r="AO143" s="13" t="n">
        <v>0</v>
      </c>
      <c r="AP143" s="13">
        <f>AN143+AO143</f>
        <v/>
      </c>
      <c r="AQ143" s="13">
        <f>AP143*G143</f>
        <v/>
      </c>
    </row>
    <row r="144" ht="10.25" customFormat="1" customHeight="1" s="9">
      <c r="B144" s="52" t="n"/>
      <c r="C144" s="52" t="n"/>
      <c r="D144" s="69" t="n"/>
      <c r="E144" s="52" t="n"/>
      <c r="F144" s="52" t="n"/>
      <c r="G144" s="71" t="n"/>
      <c r="H144" s="55" t="n"/>
      <c r="I144" s="56" t="n"/>
      <c r="J144" s="57" t="n"/>
      <c r="K144" s="58" t="n"/>
      <c r="L144" s="56" t="n"/>
      <c r="M144" s="59" t="n"/>
      <c r="N144" s="60" t="n"/>
      <c r="O144" s="60" t="n"/>
      <c r="P144" s="61" t="n"/>
      <c r="Q144" s="52" t="n"/>
      <c r="R144" s="52" t="n"/>
      <c r="S144" s="52" t="n"/>
      <c r="T144" s="52">
        <f>VLOOKUP(S144,'[1]COUNTRY LIST2'!$B$2:$G$254,2,0)</f>
        <v/>
      </c>
      <c r="U144" s="52">
        <f>VLOOKUP(S144,'[1]COUNTRY LIST2'!$B$2:$G$254,3,0)</f>
        <v/>
      </c>
      <c r="V144" s="52">
        <f>VLOOKUP(S144,'[1]COUNTRY LIST2'!$B$2:$G$254,6,0)</f>
        <v/>
      </c>
      <c r="W144" s="52">
        <f>VLOOKUP(S144,'[1]COUNTRY LIST2'!$B$2:$G$254,5,0)</f>
        <v/>
      </c>
      <c r="X144" s="52" t="n"/>
      <c r="Y144" s="62" t="n"/>
      <c r="Z144" s="63">
        <f>VLOOKUP(Y144,[1]OTH!A:B,2,0)</f>
        <v/>
      </c>
      <c r="AB144" s="63">
        <f>VLOOKUP(Y144,[1]OTH!$A$1:$C$22,3,0)</f>
        <v/>
      </c>
      <c r="AF144" s="64">
        <f>G144*H144</f>
        <v/>
      </c>
      <c r="AI144" s="65" t="n"/>
      <c r="AJ144" s="66">
        <f>ROUND(I144,2)</f>
        <v/>
      </c>
      <c r="AK144" s="40" t="inlineStr">
        <is>
          <t>x</t>
        </is>
      </c>
      <c r="AL144" s="67" t="n"/>
      <c r="AM144" s="40" t="inlineStr">
        <is>
          <t>x</t>
        </is>
      </c>
      <c r="AN144" s="13" t="n">
        <v>0</v>
      </c>
      <c r="AO144" s="13" t="n">
        <v>0</v>
      </c>
      <c r="AP144" s="13">
        <f>AN144+AO144</f>
        <v/>
      </c>
      <c r="AQ144" s="13">
        <f>AP144*G144</f>
        <v/>
      </c>
    </row>
    <row r="145" ht="10.25" customFormat="1" customHeight="1" s="9">
      <c r="B145" s="52" t="n"/>
      <c r="C145" s="52" t="n"/>
      <c r="D145" s="52" t="n"/>
      <c r="E145" s="52" t="n"/>
      <c r="F145" s="52" t="n"/>
      <c r="G145" s="71" t="n"/>
      <c r="H145" s="55" t="n"/>
      <c r="I145" s="56" t="n"/>
      <c r="J145" s="57" t="n"/>
      <c r="K145" s="58" t="n"/>
      <c r="L145" s="56" t="n"/>
      <c r="M145" s="59" t="n"/>
      <c r="N145" s="60" t="n"/>
      <c r="O145" s="60" t="n"/>
      <c r="P145" s="61" t="n"/>
      <c r="Q145" s="52" t="n"/>
      <c r="R145" s="52" t="n"/>
      <c r="S145" s="52" t="n"/>
      <c r="T145" s="52">
        <f>VLOOKUP(S145,'[1]COUNTRY LIST2'!$B$2:$G$254,2,0)</f>
        <v/>
      </c>
      <c r="U145" s="52">
        <f>VLOOKUP(S145,'[1]COUNTRY LIST2'!$B$2:$G$254,3,0)</f>
        <v/>
      </c>
      <c r="V145" s="52">
        <f>VLOOKUP(S145,'[1]COUNTRY LIST2'!$B$2:$G$254,6,0)</f>
        <v/>
      </c>
      <c r="W145" s="52">
        <f>VLOOKUP(S145,'[1]COUNTRY LIST2'!$B$2:$G$254,5,0)</f>
        <v/>
      </c>
      <c r="X145" s="52" t="n"/>
      <c r="Y145" s="62" t="n"/>
      <c r="Z145" s="63">
        <f>VLOOKUP(Y145,[1]OTH!A:B,2,0)</f>
        <v/>
      </c>
      <c r="AB145" s="63">
        <f>VLOOKUP(Y145,[1]OTH!$A$1:$C$22,3,0)</f>
        <v/>
      </c>
      <c r="AF145" s="64">
        <f>G145*H145</f>
        <v/>
      </c>
      <c r="AI145" s="65" t="n"/>
      <c r="AJ145" s="66">
        <f>ROUND(I145,2)</f>
        <v/>
      </c>
      <c r="AK145" s="40" t="inlineStr">
        <is>
          <t>x</t>
        </is>
      </c>
      <c r="AL145" s="67" t="n"/>
      <c r="AM145" s="40" t="inlineStr">
        <is>
          <t>x</t>
        </is>
      </c>
      <c r="AN145" s="13" t="n">
        <v>0</v>
      </c>
      <c r="AO145" s="13" t="n">
        <v>0</v>
      </c>
      <c r="AP145" s="13">
        <f>AN145+AO145</f>
        <v/>
      </c>
      <c r="AQ145" s="13">
        <f>AP145*G145</f>
        <v/>
      </c>
    </row>
    <row r="146" ht="10.25" customFormat="1" customHeight="1" s="9">
      <c r="B146" s="52" t="n"/>
      <c r="C146" s="52" t="n"/>
      <c r="D146" s="69" t="n"/>
      <c r="E146" s="52" t="n"/>
      <c r="F146" s="52" t="n"/>
      <c r="G146" s="71" t="n"/>
      <c r="H146" s="55" t="n"/>
      <c r="I146" s="56" t="n"/>
      <c r="J146" s="57" t="n"/>
      <c r="K146" s="58" t="n"/>
      <c r="L146" s="56" t="n"/>
      <c r="M146" s="59" t="n"/>
      <c r="N146" s="60" t="n"/>
      <c r="O146" s="60" t="n"/>
      <c r="P146" s="61" t="n"/>
      <c r="Q146" s="52" t="n"/>
      <c r="R146" s="52" t="n"/>
      <c r="S146" s="52" t="n"/>
      <c r="T146" s="52">
        <f>VLOOKUP(S146,'[1]COUNTRY LIST2'!$B$2:$G$254,2,0)</f>
        <v/>
      </c>
      <c r="U146" s="52">
        <f>VLOOKUP(S146,'[1]COUNTRY LIST2'!$B$2:$G$254,3,0)</f>
        <v/>
      </c>
      <c r="V146" s="52">
        <f>VLOOKUP(S146,'[1]COUNTRY LIST2'!$B$2:$G$254,6,0)</f>
        <v/>
      </c>
      <c r="W146" s="52">
        <f>VLOOKUP(S146,'[1]COUNTRY LIST2'!$B$2:$G$254,5,0)</f>
        <v/>
      </c>
      <c r="X146" s="52" t="n"/>
      <c r="Y146" s="62" t="n"/>
      <c r="Z146" s="63">
        <f>VLOOKUP(Y146,[1]OTH!A:B,2,0)</f>
        <v/>
      </c>
      <c r="AB146" s="63">
        <f>VLOOKUP(Y146,[1]OTH!$A$1:$C$22,3,0)</f>
        <v/>
      </c>
      <c r="AF146" s="64">
        <f>G146*H146</f>
        <v/>
      </c>
      <c r="AI146" s="65" t="n"/>
      <c r="AJ146" s="66">
        <f>ROUND(I146,2)</f>
        <v/>
      </c>
      <c r="AK146" s="40" t="inlineStr">
        <is>
          <t>x</t>
        </is>
      </c>
      <c r="AL146" s="67" t="n"/>
      <c r="AM146" s="40" t="inlineStr">
        <is>
          <t>x</t>
        </is>
      </c>
      <c r="AN146" s="13" t="n">
        <v>0</v>
      </c>
      <c r="AO146" s="13" t="n">
        <v>0</v>
      </c>
      <c r="AP146" s="13">
        <f>AN146+AO146</f>
        <v/>
      </c>
      <c r="AQ146" s="13">
        <f>AP146*G146</f>
        <v/>
      </c>
    </row>
    <row r="147" ht="10.25" customFormat="1" customHeight="1" s="9">
      <c r="B147" s="52" t="n"/>
      <c r="C147" s="52" t="n"/>
      <c r="D147" s="53" t="n"/>
      <c r="E147" s="52" t="n"/>
      <c r="F147" s="52" t="n"/>
      <c r="G147" s="71" t="n"/>
      <c r="H147" s="55" t="n"/>
      <c r="I147" s="56" t="n"/>
      <c r="J147" s="57" t="n"/>
      <c r="K147" s="58" t="n"/>
      <c r="L147" s="56" t="n"/>
      <c r="M147" s="59" t="n"/>
      <c r="N147" s="60" t="n"/>
      <c r="O147" s="60" t="n"/>
      <c r="P147" s="61" t="n"/>
      <c r="Q147" s="52" t="n"/>
      <c r="R147" s="52" t="n"/>
      <c r="S147" s="52" t="n"/>
      <c r="T147" s="52">
        <f>VLOOKUP(S147,'[1]COUNTRY LIST2'!$B$2:$G$254,2,0)</f>
        <v/>
      </c>
      <c r="U147" s="52">
        <f>VLOOKUP(S147,'[1]COUNTRY LIST2'!$B$2:$G$254,3,0)</f>
        <v/>
      </c>
      <c r="V147" s="52">
        <f>VLOOKUP(S147,'[1]COUNTRY LIST2'!$B$2:$G$254,6,0)</f>
        <v/>
      </c>
      <c r="W147" s="52">
        <f>VLOOKUP(S147,'[1]COUNTRY LIST2'!$B$2:$G$254,5,0)</f>
        <v/>
      </c>
      <c r="X147" s="52" t="n"/>
      <c r="Y147" s="62" t="n"/>
      <c r="Z147" s="63">
        <f>VLOOKUP(Y147,[1]OTH!A:B,2,0)</f>
        <v/>
      </c>
      <c r="AB147" s="63">
        <f>VLOOKUP(Y147,[1]OTH!$A$1:$C$22,3,0)</f>
        <v/>
      </c>
      <c r="AF147" s="64">
        <f>G147*H147</f>
        <v/>
      </c>
      <c r="AI147" s="65" t="n"/>
      <c r="AJ147" s="66">
        <f>ROUND(I147,2)</f>
        <v/>
      </c>
      <c r="AK147" s="40" t="inlineStr">
        <is>
          <t>x</t>
        </is>
      </c>
      <c r="AL147" s="67" t="n"/>
      <c r="AM147" s="40" t="inlineStr">
        <is>
          <t>x</t>
        </is>
      </c>
      <c r="AN147" s="13" t="n">
        <v>0</v>
      </c>
      <c r="AO147" s="13" t="n">
        <v>0</v>
      </c>
      <c r="AP147" s="13">
        <f>AN147+AO147</f>
        <v/>
      </c>
      <c r="AQ147" s="13">
        <f>AP147*G147</f>
        <v/>
      </c>
    </row>
    <row r="148" ht="10.25" customFormat="1" customHeight="1" s="9">
      <c r="B148" s="52" t="n"/>
      <c r="C148" s="52" t="n"/>
      <c r="D148" s="69" t="n"/>
      <c r="E148" s="52" t="n"/>
      <c r="F148" s="52" t="n"/>
      <c r="G148" s="71" t="n"/>
      <c r="H148" s="55" t="n"/>
      <c r="I148" s="56" t="n"/>
      <c r="J148" s="57" t="n"/>
      <c r="K148" s="58" t="n"/>
      <c r="L148" s="56" t="n"/>
      <c r="M148" s="59" t="n"/>
      <c r="N148" s="60" t="n"/>
      <c r="O148" s="60" t="n"/>
      <c r="P148" s="61" t="n"/>
      <c r="Q148" s="52" t="n"/>
      <c r="R148" s="52" t="n"/>
      <c r="S148" s="52" t="n"/>
      <c r="T148" s="52">
        <f>VLOOKUP(S148,'[1]COUNTRY LIST2'!$B$2:$G$254,2,0)</f>
        <v/>
      </c>
      <c r="U148" s="52">
        <f>VLOOKUP(S148,'[1]COUNTRY LIST2'!$B$2:$G$254,3,0)</f>
        <v/>
      </c>
      <c r="V148" s="52">
        <f>VLOOKUP(S148,'[1]COUNTRY LIST2'!$B$2:$G$254,6,0)</f>
        <v/>
      </c>
      <c r="W148" s="52">
        <f>VLOOKUP(S148,'[1]COUNTRY LIST2'!$B$2:$G$254,5,0)</f>
        <v/>
      </c>
      <c r="X148" s="52" t="n"/>
      <c r="Y148" s="62" t="n"/>
      <c r="Z148" s="63">
        <f>VLOOKUP(Y148,[1]OTH!A:B,2,0)</f>
        <v/>
      </c>
      <c r="AB148" s="63">
        <f>VLOOKUP(Y148,[1]OTH!$A$1:$C$22,3,0)</f>
        <v/>
      </c>
      <c r="AF148" s="64">
        <f>G148*H148</f>
        <v/>
      </c>
      <c r="AI148" s="65" t="n"/>
      <c r="AJ148" s="66">
        <f>ROUND(I148,2)</f>
        <v/>
      </c>
      <c r="AK148" s="40" t="inlineStr">
        <is>
          <t>x</t>
        </is>
      </c>
      <c r="AL148" s="67" t="n"/>
      <c r="AM148" s="40" t="inlineStr">
        <is>
          <t>x</t>
        </is>
      </c>
      <c r="AN148" s="13" t="n">
        <v>0</v>
      </c>
      <c r="AO148" s="13" t="n">
        <v>0</v>
      </c>
      <c r="AP148" s="13">
        <f>AN148+AO148</f>
        <v/>
      </c>
      <c r="AQ148" s="13">
        <f>AP148*G148</f>
        <v/>
      </c>
    </row>
    <row r="149" ht="10.25" customFormat="1" customHeight="1" s="9">
      <c r="B149" s="52" t="n"/>
      <c r="C149" s="52" t="n"/>
      <c r="D149" s="69" t="n"/>
      <c r="E149" s="52" t="n"/>
      <c r="F149" s="52" t="n"/>
      <c r="G149" s="71" t="n"/>
      <c r="H149" s="55" t="n"/>
      <c r="I149" s="56" t="n"/>
      <c r="J149" s="57" t="n"/>
      <c r="K149" s="58" t="n"/>
      <c r="L149" s="56" t="n"/>
      <c r="M149" s="59" t="n"/>
      <c r="N149" s="60" t="n"/>
      <c r="O149" s="60" t="n"/>
      <c r="P149" s="61" t="n"/>
      <c r="Q149" s="52" t="n"/>
      <c r="R149" s="52" t="n"/>
      <c r="S149" s="52" t="n"/>
      <c r="T149" s="52">
        <f>VLOOKUP(S149,'[1]COUNTRY LIST2'!$B$2:$G$254,2,0)</f>
        <v/>
      </c>
      <c r="U149" s="52">
        <f>VLOOKUP(S149,'[1]COUNTRY LIST2'!$B$2:$G$254,3,0)</f>
        <v/>
      </c>
      <c r="V149" s="52">
        <f>VLOOKUP(S149,'[1]COUNTRY LIST2'!$B$2:$G$254,6,0)</f>
        <v/>
      </c>
      <c r="W149" s="52">
        <f>VLOOKUP(S149,'[1]COUNTRY LIST2'!$B$2:$G$254,5,0)</f>
        <v/>
      </c>
      <c r="X149" s="52" t="n"/>
      <c r="Y149" s="62" t="n"/>
      <c r="Z149" s="63">
        <f>VLOOKUP(Y149,[1]OTH!A:B,2,0)</f>
        <v/>
      </c>
      <c r="AB149" s="63">
        <f>VLOOKUP(Y149,[1]OTH!$A$1:$C$22,3,0)</f>
        <v/>
      </c>
      <c r="AF149" s="64">
        <f>G149*H149</f>
        <v/>
      </c>
      <c r="AI149" s="65" t="n"/>
      <c r="AJ149" s="66">
        <f>ROUND(I149,2)</f>
        <v/>
      </c>
      <c r="AK149" s="40" t="inlineStr">
        <is>
          <t>x</t>
        </is>
      </c>
      <c r="AL149" s="67" t="n"/>
      <c r="AM149" s="40" t="inlineStr">
        <is>
          <t>x</t>
        </is>
      </c>
      <c r="AN149" s="13" t="n">
        <v>0</v>
      </c>
      <c r="AO149" s="13" t="n">
        <v>0</v>
      </c>
      <c r="AP149" s="13">
        <f>AN149+AO149</f>
        <v/>
      </c>
      <c r="AQ149" s="13">
        <f>AP149*G149</f>
        <v/>
      </c>
    </row>
    <row r="150" ht="10.25" customFormat="1" customHeight="1" s="9">
      <c r="B150" s="52" t="n"/>
      <c r="C150" s="52" t="n"/>
      <c r="D150" s="69" t="n"/>
      <c r="E150" s="52" t="n"/>
      <c r="F150" s="52" t="n"/>
      <c r="G150" s="71" t="n"/>
      <c r="H150" s="55" t="n"/>
      <c r="I150" s="56" t="n"/>
      <c r="J150" s="57" t="n"/>
      <c r="K150" s="58" t="n"/>
      <c r="L150" s="56" t="n"/>
      <c r="M150" s="59" t="n"/>
      <c r="N150" s="60" t="n"/>
      <c r="O150" s="60" t="n"/>
      <c r="P150" s="61" t="n"/>
      <c r="Q150" s="52" t="n"/>
      <c r="R150" s="52" t="n"/>
      <c r="S150" s="52" t="n"/>
      <c r="T150" s="52">
        <f>VLOOKUP(S150,'[1]COUNTRY LIST2'!$B$2:$G$254,2,0)</f>
        <v/>
      </c>
      <c r="U150" s="52">
        <f>VLOOKUP(S150,'[1]COUNTRY LIST2'!$B$2:$G$254,3,0)</f>
        <v/>
      </c>
      <c r="V150" s="52">
        <f>VLOOKUP(S150,'[1]COUNTRY LIST2'!$B$2:$G$254,6,0)</f>
        <v/>
      </c>
      <c r="W150" s="52">
        <f>VLOOKUP(S150,'[1]COUNTRY LIST2'!$B$2:$G$254,5,0)</f>
        <v/>
      </c>
      <c r="X150" s="52" t="n"/>
      <c r="Y150" s="62" t="n"/>
      <c r="Z150" s="63">
        <f>VLOOKUP(Y150,[1]OTH!A:B,2,0)</f>
        <v/>
      </c>
      <c r="AB150" s="63">
        <f>VLOOKUP(Y150,[1]OTH!$A$1:$C$22,3,0)</f>
        <v/>
      </c>
      <c r="AF150" s="64">
        <f>G150*H150</f>
        <v/>
      </c>
      <c r="AI150" s="65" t="n"/>
      <c r="AJ150" s="66">
        <f>ROUND(I150,2)</f>
        <v/>
      </c>
      <c r="AK150" s="40" t="inlineStr">
        <is>
          <t>x</t>
        </is>
      </c>
      <c r="AL150" s="67" t="n"/>
      <c r="AM150" s="40" t="inlineStr">
        <is>
          <t>x</t>
        </is>
      </c>
      <c r="AN150" s="13" t="n">
        <v>0</v>
      </c>
      <c r="AO150" s="13" t="n">
        <v>0</v>
      </c>
      <c r="AP150" s="13">
        <f>AN150+AO150</f>
        <v/>
      </c>
      <c r="AQ150" s="13">
        <f>AP150*G150</f>
        <v/>
      </c>
    </row>
    <row r="151" ht="10.25" customFormat="1" customHeight="1" s="9">
      <c r="B151" s="52" t="n"/>
      <c r="C151" s="52" t="n"/>
      <c r="D151" s="69" t="n"/>
      <c r="E151" s="52" t="n"/>
      <c r="F151" s="52" t="n"/>
      <c r="G151" s="71" t="n"/>
      <c r="H151" s="55" t="n"/>
      <c r="I151" s="56" t="n"/>
      <c r="J151" s="57" t="n"/>
      <c r="K151" s="58" t="n"/>
      <c r="L151" s="56" t="n"/>
      <c r="M151" s="59" t="n"/>
      <c r="N151" s="60" t="n"/>
      <c r="O151" s="60" t="n"/>
      <c r="P151" s="61" t="n"/>
      <c r="Q151" s="52" t="n"/>
      <c r="R151" s="52" t="n"/>
      <c r="S151" s="52" t="n"/>
      <c r="T151" s="52">
        <f>VLOOKUP(S151,'[1]COUNTRY LIST2'!$B$2:$G$254,2,0)</f>
        <v/>
      </c>
      <c r="U151" s="52">
        <f>VLOOKUP(S151,'[1]COUNTRY LIST2'!$B$2:$G$254,3,0)</f>
        <v/>
      </c>
      <c r="V151" s="52">
        <f>VLOOKUP(S151,'[1]COUNTRY LIST2'!$B$2:$G$254,6,0)</f>
        <v/>
      </c>
      <c r="W151" s="52">
        <f>VLOOKUP(S151,'[1]COUNTRY LIST2'!$B$2:$G$254,5,0)</f>
        <v/>
      </c>
      <c r="X151" s="52" t="n"/>
      <c r="Y151" s="62" t="n"/>
      <c r="Z151" s="63">
        <f>VLOOKUP(Y151,[1]OTH!A:B,2,0)</f>
        <v/>
      </c>
      <c r="AB151" s="63">
        <f>VLOOKUP(Y151,[1]OTH!$A$1:$C$22,3,0)</f>
        <v/>
      </c>
      <c r="AF151" s="64">
        <f>G151*H151</f>
        <v/>
      </c>
      <c r="AI151" s="65" t="n"/>
      <c r="AJ151" s="66">
        <f>ROUND(I151,2)</f>
        <v/>
      </c>
      <c r="AK151" s="40" t="inlineStr">
        <is>
          <t>x</t>
        </is>
      </c>
      <c r="AL151" s="67" t="n"/>
      <c r="AM151" s="40" t="inlineStr">
        <is>
          <t>x</t>
        </is>
      </c>
      <c r="AN151" s="13" t="n">
        <v>0</v>
      </c>
      <c r="AO151" s="13" t="n">
        <v>0</v>
      </c>
      <c r="AP151" s="13">
        <f>AN151+AO151</f>
        <v/>
      </c>
      <c r="AQ151" s="13">
        <f>AP151*G151</f>
        <v/>
      </c>
    </row>
    <row r="152" ht="10.25" customFormat="1" customHeight="1" s="9">
      <c r="B152" s="52" t="n"/>
      <c r="C152" s="52" t="n"/>
      <c r="D152" s="69" t="n"/>
      <c r="E152" s="52" t="n"/>
      <c r="F152" s="52" t="n"/>
      <c r="G152" s="71" t="n"/>
      <c r="H152" s="55" t="n"/>
      <c r="I152" s="56" t="n"/>
      <c r="J152" s="57" t="n"/>
      <c r="K152" s="58" t="n"/>
      <c r="L152" s="56" t="n"/>
      <c r="M152" s="59" t="n"/>
      <c r="N152" s="60" t="n"/>
      <c r="O152" s="60" t="n"/>
      <c r="P152" s="61" t="n"/>
      <c r="Q152" s="52" t="n"/>
      <c r="R152" s="52" t="n"/>
      <c r="S152" s="52" t="n"/>
      <c r="T152" s="52">
        <f>VLOOKUP(S152,'[1]COUNTRY LIST2'!$B$2:$G$254,2,0)</f>
        <v/>
      </c>
      <c r="U152" s="52">
        <f>VLOOKUP(S152,'[1]COUNTRY LIST2'!$B$2:$G$254,3,0)</f>
        <v/>
      </c>
      <c r="V152" s="52">
        <f>VLOOKUP(S152,'[1]COUNTRY LIST2'!$B$2:$G$254,6,0)</f>
        <v/>
      </c>
      <c r="W152" s="52">
        <f>VLOOKUP(S152,'[1]COUNTRY LIST2'!$B$2:$G$254,5,0)</f>
        <v/>
      </c>
      <c r="X152" s="52" t="n"/>
      <c r="Y152" s="62" t="n"/>
      <c r="Z152" s="63">
        <f>VLOOKUP(Y152,[1]OTH!A:B,2,0)</f>
        <v/>
      </c>
      <c r="AB152" s="63">
        <f>VLOOKUP(Y152,[1]OTH!$A$1:$C$22,3,0)</f>
        <v/>
      </c>
      <c r="AF152" s="64">
        <f>G152*H152</f>
        <v/>
      </c>
      <c r="AI152" s="65" t="n"/>
      <c r="AJ152" s="66">
        <f>ROUND(I152,2)</f>
        <v/>
      </c>
      <c r="AK152" s="40" t="inlineStr">
        <is>
          <t>x</t>
        </is>
      </c>
      <c r="AL152" s="67" t="n"/>
      <c r="AM152" s="40" t="inlineStr">
        <is>
          <t>x</t>
        </is>
      </c>
      <c r="AN152" s="13" t="n">
        <v>0</v>
      </c>
      <c r="AO152" s="13" t="n">
        <v>0</v>
      </c>
      <c r="AP152" s="13">
        <f>AN152+AO152</f>
        <v/>
      </c>
      <c r="AQ152" s="13">
        <f>AP152*G152</f>
        <v/>
      </c>
    </row>
    <row r="153" ht="10.25" customFormat="1" customHeight="1" s="9">
      <c r="B153" s="52" t="n"/>
      <c r="C153" s="52" t="n"/>
      <c r="D153" s="69" t="n"/>
      <c r="E153" s="52" t="n"/>
      <c r="F153" s="52" t="n"/>
      <c r="G153" s="71" t="n"/>
      <c r="H153" s="55" t="n"/>
      <c r="I153" s="56" t="n"/>
      <c r="J153" s="57" t="n"/>
      <c r="K153" s="58" t="n"/>
      <c r="L153" s="56" t="n"/>
      <c r="M153" s="59" t="n"/>
      <c r="N153" s="60" t="n"/>
      <c r="O153" s="60" t="n"/>
      <c r="P153" s="61" t="n"/>
      <c r="Q153" s="52" t="n"/>
      <c r="R153" s="52" t="n"/>
      <c r="S153" s="52" t="n"/>
      <c r="T153" s="52">
        <f>VLOOKUP(S153,'[1]COUNTRY LIST2'!$B$2:$G$254,2,0)</f>
        <v/>
      </c>
      <c r="U153" s="52">
        <f>VLOOKUP(S153,'[1]COUNTRY LIST2'!$B$2:$G$254,3,0)</f>
        <v/>
      </c>
      <c r="V153" s="52">
        <f>VLOOKUP(S153,'[1]COUNTRY LIST2'!$B$2:$G$254,6,0)</f>
        <v/>
      </c>
      <c r="W153" s="52">
        <f>VLOOKUP(S153,'[1]COUNTRY LIST2'!$B$2:$G$254,5,0)</f>
        <v/>
      </c>
      <c r="X153" s="52" t="n"/>
      <c r="Y153" s="62" t="n"/>
      <c r="Z153" s="63">
        <f>VLOOKUP(Y153,[1]OTH!A:B,2,0)</f>
        <v/>
      </c>
      <c r="AB153" s="63">
        <f>VLOOKUP(Y153,[1]OTH!$A$1:$C$22,3,0)</f>
        <v/>
      </c>
      <c r="AF153" s="64">
        <f>G153*H153</f>
        <v/>
      </c>
      <c r="AI153" s="65" t="n"/>
      <c r="AJ153" s="66">
        <f>ROUND(I153,2)</f>
        <v/>
      </c>
      <c r="AK153" s="40" t="inlineStr">
        <is>
          <t>x</t>
        </is>
      </c>
      <c r="AL153" s="67" t="n"/>
      <c r="AM153" s="40" t="inlineStr">
        <is>
          <t>x</t>
        </is>
      </c>
      <c r="AN153" s="13" t="n">
        <v>0</v>
      </c>
      <c r="AO153" s="13" t="n">
        <v>0</v>
      </c>
      <c r="AP153" s="13">
        <f>AN153+AO153</f>
        <v/>
      </c>
      <c r="AQ153" s="13">
        <f>AP153*G153</f>
        <v/>
      </c>
    </row>
    <row r="154" ht="10.25" customFormat="1" customHeight="1" s="9">
      <c r="B154" s="52" t="n"/>
      <c r="C154" s="52" t="n"/>
      <c r="D154" s="69" t="n"/>
      <c r="E154" s="52" t="n"/>
      <c r="F154" s="52" t="n"/>
      <c r="G154" s="71" t="n"/>
      <c r="H154" s="55" t="n"/>
      <c r="I154" s="56" t="n"/>
      <c r="J154" s="57" t="n"/>
      <c r="K154" s="58" t="n"/>
      <c r="L154" s="56" t="n"/>
      <c r="M154" s="59" t="n"/>
      <c r="N154" s="60" t="n"/>
      <c r="O154" s="60" t="n"/>
      <c r="P154" s="61" t="n"/>
      <c r="Q154" s="52" t="n"/>
      <c r="R154" s="52" t="n"/>
      <c r="S154" s="52" t="n"/>
      <c r="T154" s="52">
        <f>VLOOKUP(S154,'[1]COUNTRY LIST2'!$B$2:$G$254,2,0)</f>
        <v/>
      </c>
      <c r="U154" s="52">
        <f>VLOOKUP(S154,'[1]COUNTRY LIST2'!$B$2:$G$254,3,0)</f>
        <v/>
      </c>
      <c r="V154" s="52">
        <f>VLOOKUP(S154,'[1]COUNTRY LIST2'!$B$2:$G$254,6,0)</f>
        <v/>
      </c>
      <c r="W154" s="52">
        <f>VLOOKUP(S154,'[1]COUNTRY LIST2'!$B$2:$G$254,5,0)</f>
        <v/>
      </c>
      <c r="X154" s="52" t="n"/>
      <c r="Y154" s="62" t="n"/>
      <c r="Z154" s="63">
        <f>VLOOKUP(Y154,[1]OTH!A:B,2,0)</f>
        <v/>
      </c>
      <c r="AB154" s="63">
        <f>VLOOKUP(Y154,[1]OTH!$A$1:$C$22,3,0)</f>
        <v/>
      </c>
      <c r="AF154" s="64">
        <f>G154*H154</f>
        <v/>
      </c>
      <c r="AI154" s="65" t="n"/>
      <c r="AJ154" s="66">
        <f>ROUND(I154,2)</f>
        <v/>
      </c>
      <c r="AK154" s="40" t="inlineStr">
        <is>
          <t>x</t>
        </is>
      </c>
      <c r="AL154" s="67" t="n"/>
      <c r="AM154" s="40" t="inlineStr">
        <is>
          <t>x</t>
        </is>
      </c>
      <c r="AN154" s="13" t="n">
        <v>0</v>
      </c>
      <c r="AO154" s="13" t="n">
        <v>0</v>
      </c>
      <c r="AP154" s="13">
        <f>AN154+AO154</f>
        <v/>
      </c>
      <c r="AQ154" s="13">
        <f>AP154*G154</f>
        <v/>
      </c>
    </row>
    <row r="155" ht="10.25" customFormat="1" customHeight="1" s="9">
      <c r="B155" s="52" t="n"/>
      <c r="C155" s="52" t="n"/>
      <c r="D155" s="69" t="n"/>
      <c r="E155" s="52" t="n"/>
      <c r="F155" s="52" t="n"/>
      <c r="G155" s="71" t="n"/>
      <c r="H155" s="55" t="n"/>
      <c r="I155" s="56" t="n"/>
      <c r="J155" s="57" t="n"/>
      <c r="K155" s="58" t="n"/>
      <c r="L155" s="56" t="n"/>
      <c r="M155" s="59" t="n"/>
      <c r="N155" s="60" t="n"/>
      <c r="O155" s="60" t="n"/>
      <c r="P155" s="61" t="n"/>
      <c r="Q155" s="52" t="n"/>
      <c r="R155" s="52" t="n"/>
      <c r="S155" s="52" t="n"/>
      <c r="T155" s="52">
        <f>VLOOKUP(S155,'[1]COUNTRY LIST2'!$B$2:$G$254,2,0)</f>
        <v/>
      </c>
      <c r="U155" s="52">
        <f>VLOOKUP(S155,'[1]COUNTRY LIST2'!$B$2:$G$254,3,0)</f>
        <v/>
      </c>
      <c r="V155" s="52">
        <f>VLOOKUP(S155,'[1]COUNTRY LIST2'!$B$2:$G$254,6,0)</f>
        <v/>
      </c>
      <c r="W155" s="52">
        <f>VLOOKUP(S155,'[1]COUNTRY LIST2'!$B$2:$G$254,5,0)</f>
        <v/>
      </c>
      <c r="X155" s="52" t="n"/>
      <c r="Y155" s="62" t="n"/>
      <c r="Z155" s="63">
        <f>VLOOKUP(Y155,[1]OTH!A:B,2,0)</f>
        <v/>
      </c>
      <c r="AB155" s="63">
        <f>VLOOKUP(Y155,[1]OTH!$A$1:$C$22,3,0)</f>
        <v/>
      </c>
      <c r="AF155" s="64">
        <f>G155*H155</f>
        <v/>
      </c>
      <c r="AI155" s="65" t="n"/>
      <c r="AJ155" s="66">
        <f>ROUND(I155,2)</f>
        <v/>
      </c>
      <c r="AK155" s="40" t="inlineStr">
        <is>
          <t>x</t>
        </is>
      </c>
      <c r="AL155" s="67" t="n"/>
      <c r="AM155" s="40" t="inlineStr">
        <is>
          <t>x</t>
        </is>
      </c>
      <c r="AN155" s="13" t="n">
        <v>0</v>
      </c>
      <c r="AO155" s="13" t="n">
        <v>0</v>
      </c>
      <c r="AP155" s="13">
        <f>AN155+AO155</f>
        <v/>
      </c>
      <c r="AQ155" s="13">
        <f>AP155*G155</f>
        <v/>
      </c>
    </row>
    <row r="156" ht="10.25" customFormat="1" customHeight="1" s="9">
      <c r="B156" s="52" t="n"/>
      <c r="C156" s="52" t="n"/>
      <c r="D156" s="69" t="n"/>
      <c r="E156" s="52" t="n"/>
      <c r="F156" s="52" t="n"/>
      <c r="G156" s="71" t="n"/>
      <c r="H156" s="55" t="n"/>
      <c r="I156" s="56" t="n"/>
      <c r="J156" s="57" t="n"/>
      <c r="K156" s="58" t="n"/>
      <c r="L156" s="56" t="n"/>
      <c r="M156" s="59" t="n"/>
      <c r="N156" s="60" t="n"/>
      <c r="O156" s="60" t="n"/>
      <c r="P156" s="61" t="n"/>
      <c r="Q156" s="52" t="n"/>
      <c r="R156" s="52" t="n"/>
      <c r="S156" s="52" t="n"/>
      <c r="T156" s="52">
        <f>VLOOKUP(S156,'[1]COUNTRY LIST2'!$B$2:$G$254,2,0)</f>
        <v/>
      </c>
      <c r="U156" s="52">
        <f>VLOOKUP(S156,'[1]COUNTRY LIST2'!$B$2:$G$254,3,0)</f>
        <v/>
      </c>
      <c r="V156" s="52">
        <f>VLOOKUP(S156,'[1]COUNTRY LIST2'!$B$2:$G$254,6,0)</f>
        <v/>
      </c>
      <c r="W156" s="52">
        <f>VLOOKUP(S156,'[1]COUNTRY LIST2'!$B$2:$G$254,5,0)</f>
        <v/>
      </c>
      <c r="X156" s="52" t="n"/>
      <c r="Y156" s="62" t="n"/>
      <c r="Z156" s="63">
        <f>VLOOKUP(Y156,[1]OTH!A:B,2,0)</f>
        <v/>
      </c>
      <c r="AB156" s="63">
        <f>VLOOKUP(Y156,[1]OTH!$A$1:$C$22,3,0)</f>
        <v/>
      </c>
      <c r="AF156" s="64">
        <f>G156*H156</f>
        <v/>
      </c>
      <c r="AI156" s="65" t="n"/>
      <c r="AJ156" s="66">
        <f>ROUND(I156,2)</f>
        <v/>
      </c>
      <c r="AK156" s="40" t="inlineStr">
        <is>
          <t>x</t>
        </is>
      </c>
      <c r="AL156" s="67" t="n"/>
      <c r="AM156" s="40" t="inlineStr">
        <is>
          <t>x</t>
        </is>
      </c>
      <c r="AN156" s="13" t="n">
        <v>0</v>
      </c>
      <c r="AO156" s="13" t="n">
        <v>0</v>
      </c>
      <c r="AP156" s="13">
        <f>AN156+AO156</f>
        <v/>
      </c>
      <c r="AQ156" s="13">
        <f>AP156*G156</f>
        <v/>
      </c>
    </row>
    <row r="157" ht="10.25" customFormat="1" customHeight="1" s="9">
      <c r="B157" s="52" t="n"/>
      <c r="C157" s="52" t="n"/>
      <c r="D157" s="69" t="n"/>
      <c r="E157" s="52" t="n"/>
      <c r="F157" s="52" t="n"/>
      <c r="G157" s="71" t="n"/>
      <c r="H157" s="55" t="n"/>
      <c r="I157" s="56" t="n"/>
      <c r="J157" s="57" t="n"/>
      <c r="K157" s="58" t="n"/>
      <c r="L157" s="56" t="n"/>
      <c r="M157" s="59" t="n"/>
      <c r="N157" s="60" t="n"/>
      <c r="O157" s="60" t="n"/>
      <c r="P157" s="61" t="n"/>
      <c r="Q157" s="52" t="n"/>
      <c r="R157" s="52" t="n"/>
      <c r="S157" s="52" t="n"/>
      <c r="T157" s="52">
        <f>VLOOKUP(S157,'[1]COUNTRY LIST2'!$B$2:$G$254,2,0)</f>
        <v/>
      </c>
      <c r="U157" s="52">
        <f>VLOOKUP(S157,'[1]COUNTRY LIST2'!$B$2:$G$254,3,0)</f>
        <v/>
      </c>
      <c r="V157" s="52">
        <f>VLOOKUP(S157,'[1]COUNTRY LIST2'!$B$2:$G$254,6,0)</f>
        <v/>
      </c>
      <c r="W157" s="52">
        <f>VLOOKUP(S157,'[1]COUNTRY LIST2'!$B$2:$G$254,5,0)</f>
        <v/>
      </c>
      <c r="X157" s="52" t="n"/>
      <c r="Y157" s="62" t="n"/>
      <c r="Z157" s="63">
        <f>VLOOKUP(Y157,[1]OTH!A:B,2,0)</f>
        <v/>
      </c>
      <c r="AB157" s="63">
        <f>VLOOKUP(Y157,[1]OTH!$A$1:$C$22,3,0)</f>
        <v/>
      </c>
      <c r="AF157" s="64">
        <f>G157*H157</f>
        <v/>
      </c>
      <c r="AI157" s="65" t="n"/>
      <c r="AJ157" s="66">
        <f>ROUND(I157,2)</f>
        <v/>
      </c>
      <c r="AK157" s="40" t="inlineStr">
        <is>
          <t>x</t>
        </is>
      </c>
      <c r="AL157" s="67" t="n"/>
      <c r="AM157" s="40" t="inlineStr">
        <is>
          <t>x</t>
        </is>
      </c>
      <c r="AN157" s="13" t="n">
        <v>0</v>
      </c>
      <c r="AO157" s="13" t="n">
        <v>0</v>
      </c>
      <c r="AP157" s="13">
        <f>AN157+AO157</f>
        <v/>
      </c>
      <c r="AQ157" s="13">
        <f>AP157*G157</f>
        <v/>
      </c>
    </row>
    <row r="158" ht="10.25" customFormat="1" customHeight="1" s="9">
      <c r="B158" s="52" t="n"/>
      <c r="C158" s="52" t="n"/>
      <c r="D158" s="69" t="n"/>
      <c r="E158" s="52" t="n"/>
      <c r="F158" s="52" t="n"/>
      <c r="G158" s="71" t="n"/>
      <c r="H158" s="55" t="n"/>
      <c r="I158" s="56" t="n"/>
      <c r="J158" s="57" t="n"/>
      <c r="K158" s="58" t="n"/>
      <c r="L158" s="56" t="n"/>
      <c r="M158" s="59" t="n"/>
      <c r="N158" s="60" t="n"/>
      <c r="O158" s="60" t="n"/>
      <c r="P158" s="61" t="n"/>
      <c r="Q158" s="52" t="n"/>
      <c r="R158" s="52" t="n"/>
      <c r="S158" s="52" t="n"/>
      <c r="T158" s="52">
        <f>VLOOKUP(S158,'[1]COUNTRY LIST2'!$B$2:$G$254,2,0)</f>
        <v/>
      </c>
      <c r="U158" s="52">
        <f>VLOOKUP(S158,'[1]COUNTRY LIST2'!$B$2:$G$254,3,0)</f>
        <v/>
      </c>
      <c r="V158" s="52">
        <f>VLOOKUP(S158,'[1]COUNTRY LIST2'!$B$2:$G$254,6,0)</f>
        <v/>
      </c>
      <c r="W158" s="52">
        <f>VLOOKUP(S158,'[1]COUNTRY LIST2'!$B$2:$G$254,5,0)</f>
        <v/>
      </c>
      <c r="X158" s="52" t="n"/>
      <c r="Y158" s="62" t="n"/>
      <c r="Z158" s="63">
        <f>VLOOKUP(Y158,[1]OTH!A:B,2,0)</f>
        <v/>
      </c>
      <c r="AB158" s="63">
        <f>VLOOKUP(Y158,[1]OTH!$A$1:$C$22,3,0)</f>
        <v/>
      </c>
      <c r="AF158" s="64">
        <f>G158*H158</f>
        <v/>
      </c>
      <c r="AI158" s="65" t="n"/>
      <c r="AJ158" s="66">
        <f>ROUND(I158,2)</f>
        <v/>
      </c>
      <c r="AK158" s="40" t="inlineStr">
        <is>
          <t>x</t>
        </is>
      </c>
      <c r="AL158" s="67" t="n"/>
      <c r="AM158" s="40" t="inlineStr">
        <is>
          <t>x</t>
        </is>
      </c>
      <c r="AN158" s="13" t="n">
        <v>0</v>
      </c>
      <c r="AO158" s="13" t="n">
        <v>0</v>
      </c>
      <c r="AP158" s="13">
        <f>AN158+AO158</f>
        <v/>
      </c>
      <c r="AQ158" s="13">
        <f>AP158*G158</f>
        <v/>
      </c>
    </row>
    <row r="159" ht="10.25" customFormat="1" customHeight="1" s="9">
      <c r="B159" s="52" t="n"/>
      <c r="C159" s="52" t="n"/>
      <c r="D159" s="69" t="n"/>
      <c r="E159" s="52" t="n"/>
      <c r="F159" s="52" t="n"/>
      <c r="G159" s="71" t="n"/>
      <c r="H159" s="55" t="n"/>
      <c r="I159" s="56" t="n"/>
      <c r="J159" s="57" t="n"/>
      <c r="K159" s="58" t="n"/>
      <c r="L159" s="56" t="n"/>
      <c r="M159" s="59" t="n"/>
      <c r="N159" s="60" t="n"/>
      <c r="O159" s="60" t="n"/>
      <c r="P159" s="61" t="n"/>
      <c r="Q159" s="52" t="n"/>
      <c r="R159" s="52" t="n"/>
      <c r="S159" s="52" t="n"/>
      <c r="T159" s="52">
        <f>VLOOKUP(S159,'[1]COUNTRY LIST2'!$B$2:$G$254,2,0)</f>
        <v/>
      </c>
      <c r="U159" s="52">
        <f>VLOOKUP(S159,'[1]COUNTRY LIST2'!$B$2:$G$254,3,0)</f>
        <v/>
      </c>
      <c r="V159" s="52">
        <f>VLOOKUP(S159,'[1]COUNTRY LIST2'!$B$2:$G$254,6,0)</f>
        <v/>
      </c>
      <c r="W159" s="52">
        <f>VLOOKUP(S159,'[1]COUNTRY LIST2'!$B$2:$G$254,5,0)</f>
        <v/>
      </c>
      <c r="X159" s="52" t="n"/>
      <c r="Y159" s="62" t="n"/>
      <c r="Z159" s="63">
        <f>VLOOKUP(Y159,[1]OTH!A:B,2,0)</f>
        <v/>
      </c>
      <c r="AB159" s="63">
        <f>VLOOKUP(Y159,[1]OTH!$A$1:$C$22,3,0)</f>
        <v/>
      </c>
      <c r="AF159" s="64">
        <f>G159*H159</f>
        <v/>
      </c>
      <c r="AI159" s="65" t="n"/>
      <c r="AJ159" s="66">
        <f>ROUND(I159,2)</f>
        <v/>
      </c>
      <c r="AK159" s="40" t="inlineStr">
        <is>
          <t>x</t>
        </is>
      </c>
      <c r="AL159" s="67" t="n"/>
      <c r="AM159" s="40" t="inlineStr">
        <is>
          <t>x</t>
        </is>
      </c>
      <c r="AN159" s="13" t="n">
        <v>0</v>
      </c>
      <c r="AO159" s="13" t="n">
        <v>0</v>
      </c>
      <c r="AP159" s="13">
        <f>AN159+AO159</f>
        <v/>
      </c>
      <c r="AQ159" s="13">
        <f>AP159*G159</f>
        <v/>
      </c>
    </row>
    <row r="160" ht="10.25" customFormat="1" customHeight="1" s="9">
      <c r="B160" s="52" t="n"/>
      <c r="C160" s="52" t="n"/>
      <c r="D160" s="69" t="n"/>
      <c r="E160" s="52" t="n"/>
      <c r="F160" s="52" t="n"/>
      <c r="G160" s="71" t="n"/>
      <c r="H160" s="55" t="n"/>
      <c r="I160" s="56" t="n"/>
      <c r="J160" s="57" t="n"/>
      <c r="K160" s="58" t="n"/>
      <c r="L160" s="56" t="n"/>
      <c r="M160" s="59" t="n"/>
      <c r="N160" s="60" t="n"/>
      <c r="O160" s="60" t="n"/>
      <c r="P160" s="61" t="n"/>
      <c r="Q160" s="52" t="n"/>
      <c r="R160" s="52" t="n"/>
      <c r="S160" s="52" t="n"/>
      <c r="T160" s="52">
        <f>VLOOKUP(S160,'[1]COUNTRY LIST2'!$B$2:$G$254,2,0)</f>
        <v/>
      </c>
      <c r="U160" s="52">
        <f>VLOOKUP(S160,'[1]COUNTRY LIST2'!$B$2:$G$254,3,0)</f>
        <v/>
      </c>
      <c r="V160" s="52">
        <f>VLOOKUP(S160,'[1]COUNTRY LIST2'!$B$2:$G$254,6,0)</f>
        <v/>
      </c>
      <c r="W160" s="52">
        <f>VLOOKUP(S160,'[1]COUNTRY LIST2'!$B$2:$G$254,5,0)</f>
        <v/>
      </c>
      <c r="X160" s="52" t="n"/>
      <c r="Y160" s="62" t="n"/>
      <c r="Z160" s="63">
        <f>VLOOKUP(Y160,[1]OTH!A:B,2,0)</f>
        <v/>
      </c>
      <c r="AB160" s="63">
        <f>VLOOKUP(Y160,[1]OTH!$A$1:$C$22,3,0)</f>
        <v/>
      </c>
      <c r="AF160" s="64">
        <f>G160*H160</f>
        <v/>
      </c>
      <c r="AI160" s="65" t="n"/>
      <c r="AJ160" s="66">
        <f>ROUND(I160,2)</f>
        <v/>
      </c>
      <c r="AK160" s="40" t="inlineStr">
        <is>
          <t>x</t>
        </is>
      </c>
      <c r="AL160" s="67" t="n"/>
      <c r="AM160" s="40" t="inlineStr">
        <is>
          <t>x</t>
        </is>
      </c>
      <c r="AN160" s="13" t="n">
        <v>0</v>
      </c>
      <c r="AO160" s="13" t="n">
        <v>0</v>
      </c>
      <c r="AP160" s="13">
        <f>AN160+AO160</f>
        <v/>
      </c>
      <c r="AQ160" s="13">
        <f>AP160*G160</f>
        <v/>
      </c>
    </row>
    <row r="161" ht="10.25" customFormat="1" customHeight="1" s="9">
      <c r="B161" s="52" t="n"/>
      <c r="C161" s="52" t="n"/>
      <c r="D161" s="69" t="n"/>
      <c r="E161" s="52" t="n"/>
      <c r="F161" s="52" t="n"/>
      <c r="G161" s="71" t="n"/>
      <c r="H161" s="55" t="n"/>
      <c r="I161" s="56" t="n"/>
      <c r="J161" s="57" t="n"/>
      <c r="K161" s="58" t="n"/>
      <c r="L161" s="56" t="n"/>
      <c r="M161" s="59" t="n"/>
      <c r="N161" s="60" t="n"/>
      <c r="O161" s="60" t="n"/>
      <c r="P161" s="61" t="n"/>
      <c r="Q161" s="52" t="n"/>
      <c r="R161" s="52" t="n"/>
      <c r="S161" s="52" t="n"/>
      <c r="T161" s="52">
        <f>VLOOKUP(S161,'[1]COUNTRY LIST2'!$B$2:$G$254,2,0)</f>
        <v/>
      </c>
      <c r="U161" s="52">
        <f>VLOOKUP(S161,'[1]COUNTRY LIST2'!$B$2:$G$254,3,0)</f>
        <v/>
      </c>
      <c r="V161" s="52">
        <f>VLOOKUP(S161,'[1]COUNTRY LIST2'!$B$2:$G$254,6,0)</f>
        <v/>
      </c>
      <c r="W161" s="52">
        <f>VLOOKUP(S161,'[1]COUNTRY LIST2'!$B$2:$G$254,5,0)</f>
        <v/>
      </c>
      <c r="X161" s="52" t="n"/>
      <c r="Y161" s="62" t="n"/>
      <c r="Z161" s="63">
        <f>VLOOKUP(Y161,[1]OTH!A:B,2,0)</f>
        <v/>
      </c>
      <c r="AB161" s="63">
        <f>VLOOKUP(Y161,[1]OTH!$A$1:$C$22,3,0)</f>
        <v/>
      </c>
      <c r="AF161" s="64">
        <f>G161*H161</f>
        <v/>
      </c>
      <c r="AI161" s="65" t="n"/>
      <c r="AJ161" s="66">
        <f>ROUND(I161,2)</f>
        <v/>
      </c>
      <c r="AK161" s="40" t="inlineStr">
        <is>
          <t>x</t>
        </is>
      </c>
      <c r="AL161" s="67" t="n"/>
      <c r="AM161" s="40" t="inlineStr">
        <is>
          <t>x</t>
        </is>
      </c>
      <c r="AN161" s="13" t="n">
        <v>0</v>
      </c>
      <c r="AO161" s="13" t="n">
        <v>0</v>
      </c>
      <c r="AP161" s="13">
        <f>AN161+AO161</f>
        <v/>
      </c>
      <c r="AQ161" s="13">
        <f>AP161*G161</f>
        <v/>
      </c>
    </row>
    <row r="162" ht="10.25" customFormat="1" customHeight="1" s="9">
      <c r="B162" s="52" t="n"/>
      <c r="C162" s="52" t="n"/>
      <c r="D162" s="69" t="n"/>
      <c r="E162" s="52" t="n"/>
      <c r="F162" s="52" t="n"/>
      <c r="G162" s="71" t="n"/>
      <c r="H162" s="55" t="n"/>
      <c r="I162" s="56" t="n"/>
      <c r="J162" s="57" t="n"/>
      <c r="K162" s="58" t="n"/>
      <c r="L162" s="56" t="n"/>
      <c r="M162" s="59" t="n"/>
      <c r="N162" s="60" t="n"/>
      <c r="O162" s="60" t="n"/>
      <c r="P162" s="61" t="n"/>
      <c r="Q162" s="52" t="n"/>
      <c r="R162" s="52" t="n"/>
      <c r="S162" s="52" t="n"/>
      <c r="T162" s="52">
        <f>VLOOKUP(S162,'[1]COUNTRY LIST2'!$B$2:$G$254,2,0)</f>
        <v/>
      </c>
      <c r="U162" s="52">
        <f>VLOOKUP(S162,'[1]COUNTRY LIST2'!$B$2:$G$254,3,0)</f>
        <v/>
      </c>
      <c r="V162" s="52">
        <f>VLOOKUP(S162,'[1]COUNTRY LIST2'!$B$2:$G$254,6,0)</f>
        <v/>
      </c>
      <c r="W162" s="52">
        <f>VLOOKUP(S162,'[1]COUNTRY LIST2'!$B$2:$G$254,5,0)</f>
        <v/>
      </c>
      <c r="X162" s="52" t="n"/>
      <c r="Y162" s="62" t="n"/>
      <c r="Z162" s="63">
        <f>VLOOKUP(Y162,[1]OTH!A:B,2,0)</f>
        <v/>
      </c>
      <c r="AB162" s="63">
        <f>VLOOKUP(Y162,[1]OTH!$A$1:$C$22,3,0)</f>
        <v/>
      </c>
      <c r="AF162" s="64">
        <f>G162*H162</f>
        <v/>
      </c>
      <c r="AI162" s="65" t="n"/>
      <c r="AJ162" s="66">
        <f>ROUND(I162,2)</f>
        <v/>
      </c>
      <c r="AK162" s="40" t="inlineStr">
        <is>
          <t>x</t>
        </is>
      </c>
      <c r="AL162" s="67" t="n"/>
      <c r="AM162" s="40" t="inlineStr">
        <is>
          <t>x</t>
        </is>
      </c>
      <c r="AN162" s="13" t="n">
        <v>0</v>
      </c>
      <c r="AO162" s="13" t="n">
        <v>0</v>
      </c>
      <c r="AP162" s="13">
        <f>AN162+AO162</f>
        <v/>
      </c>
      <c r="AQ162" s="13">
        <f>AP162*G162</f>
        <v/>
      </c>
    </row>
    <row r="163" ht="10.25" customFormat="1" customHeight="1" s="9">
      <c r="B163" s="52" t="n"/>
      <c r="C163" s="52" t="n"/>
      <c r="D163" s="69" t="n"/>
      <c r="E163" s="52" t="n"/>
      <c r="F163" s="52" t="n"/>
      <c r="G163" s="71" t="n"/>
      <c r="H163" s="55" t="n"/>
      <c r="I163" s="56" t="n"/>
      <c r="J163" s="57" t="n"/>
      <c r="K163" s="58" t="n"/>
      <c r="L163" s="56" t="n"/>
      <c r="M163" s="59" t="n"/>
      <c r="N163" s="60" t="n"/>
      <c r="O163" s="60" t="n"/>
      <c r="P163" s="61" t="n"/>
      <c r="Q163" s="52" t="n"/>
      <c r="R163" s="52" t="n"/>
      <c r="S163" s="52" t="n"/>
      <c r="T163" s="52">
        <f>VLOOKUP(S163,'[1]COUNTRY LIST2'!$B$2:$G$254,2,0)</f>
        <v/>
      </c>
      <c r="U163" s="52">
        <f>VLOOKUP(S163,'[1]COUNTRY LIST2'!$B$2:$G$254,3,0)</f>
        <v/>
      </c>
      <c r="V163" s="52">
        <f>VLOOKUP(S163,'[1]COUNTRY LIST2'!$B$2:$G$254,6,0)</f>
        <v/>
      </c>
      <c r="W163" s="52">
        <f>VLOOKUP(S163,'[1]COUNTRY LIST2'!$B$2:$G$254,5,0)</f>
        <v/>
      </c>
      <c r="X163" s="52" t="n"/>
      <c r="Y163" s="62" t="n"/>
      <c r="Z163" s="63">
        <f>VLOOKUP(Y163,[1]OTH!A:B,2,0)</f>
        <v/>
      </c>
      <c r="AB163" s="63">
        <f>VLOOKUP(Y163,[1]OTH!$A$1:$C$22,3,0)</f>
        <v/>
      </c>
      <c r="AF163" s="64">
        <f>G163*H163</f>
        <v/>
      </c>
      <c r="AI163" s="65" t="n"/>
      <c r="AJ163" s="66">
        <f>ROUND(I163,2)</f>
        <v/>
      </c>
      <c r="AK163" s="40" t="inlineStr">
        <is>
          <t>x</t>
        </is>
      </c>
      <c r="AL163" s="67" t="n"/>
      <c r="AM163" s="40" t="inlineStr">
        <is>
          <t>x</t>
        </is>
      </c>
      <c r="AN163" s="13" t="n">
        <v>0</v>
      </c>
      <c r="AO163" s="13" t="n">
        <v>0</v>
      </c>
      <c r="AP163" s="13">
        <f>AN163+AO163</f>
        <v/>
      </c>
      <c r="AQ163" s="13">
        <f>AP163*G163</f>
        <v/>
      </c>
    </row>
    <row r="164" ht="10.25" customFormat="1" customHeight="1" s="9">
      <c r="B164" s="52" t="n"/>
      <c r="C164" s="52" t="n"/>
      <c r="D164" s="52" t="n"/>
      <c r="E164" s="52" t="n"/>
      <c r="F164" s="52" t="n"/>
      <c r="G164" s="71" t="n"/>
      <c r="H164" s="55" t="n"/>
      <c r="I164" s="56" t="n"/>
      <c r="J164" s="57" t="n"/>
      <c r="K164" s="58" t="n"/>
      <c r="L164" s="56" t="n"/>
      <c r="M164" s="59" t="n"/>
      <c r="N164" s="60" t="n"/>
      <c r="O164" s="60" t="n"/>
      <c r="P164" s="61" t="n"/>
      <c r="Q164" s="52" t="n"/>
      <c r="R164" s="52" t="n"/>
      <c r="S164" s="52" t="n"/>
      <c r="T164" s="52">
        <f>VLOOKUP(S164,'[1]COUNTRY LIST2'!$B$2:$G$254,2,0)</f>
        <v/>
      </c>
      <c r="U164" s="52">
        <f>VLOOKUP(S164,'[1]COUNTRY LIST2'!$B$2:$G$254,3,0)</f>
        <v/>
      </c>
      <c r="V164" s="52">
        <f>VLOOKUP(S164,'[1]COUNTRY LIST2'!$B$2:$G$254,6,0)</f>
        <v/>
      </c>
      <c r="W164" s="52">
        <f>VLOOKUP(S164,'[1]COUNTRY LIST2'!$B$2:$G$254,5,0)</f>
        <v/>
      </c>
      <c r="X164" s="52" t="n"/>
      <c r="Y164" s="62" t="n"/>
      <c r="Z164" s="63">
        <f>VLOOKUP(Y164,[1]OTH!A:B,2,0)</f>
        <v/>
      </c>
      <c r="AB164" s="63">
        <f>VLOOKUP(Y164,[1]OTH!$A$1:$C$22,3,0)</f>
        <v/>
      </c>
      <c r="AF164" s="64">
        <f>G164*H164</f>
        <v/>
      </c>
      <c r="AI164" s="65" t="n"/>
      <c r="AJ164" s="66">
        <f>ROUND(I164,2)</f>
        <v/>
      </c>
      <c r="AK164" s="40" t="inlineStr">
        <is>
          <t>x</t>
        </is>
      </c>
      <c r="AL164" s="67" t="n"/>
      <c r="AM164" s="40" t="inlineStr">
        <is>
          <t>x</t>
        </is>
      </c>
      <c r="AN164" s="13" t="n">
        <v>0</v>
      </c>
      <c r="AO164" s="13" t="n">
        <v>0</v>
      </c>
      <c r="AP164" s="13">
        <f>AN164+AO164</f>
        <v/>
      </c>
      <c r="AQ164" s="13">
        <f>AP164*G164</f>
        <v/>
      </c>
    </row>
    <row r="165" ht="10.25" customFormat="1" customHeight="1" s="9">
      <c r="B165" s="52" t="n"/>
      <c r="C165" s="52" t="n"/>
      <c r="D165" s="52" t="n"/>
      <c r="E165" s="52" t="n"/>
      <c r="F165" s="52" t="n"/>
      <c r="G165" s="71" t="n"/>
      <c r="H165" s="55" t="n"/>
      <c r="I165" s="56" t="n"/>
      <c r="J165" s="57" t="n"/>
      <c r="K165" s="58" t="n"/>
      <c r="L165" s="56" t="n"/>
      <c r="M165" s="59" t="n"/>
      <c r="N165" s="60" t="n"/>
      <c r="O165" s="60" t="n"/>
      <c r="P165" s="61" t="n"/>
      <c r="Q165" s="52" t="n"/>
      <c r="R165" s="52" t="n"/>
      <c r="S165" s="52" t="n"/>
      <c r="T165" s="52">
        <f>VLOOKUP(S165,'[1]COUNTRY LIST2'!$B$2:$G$254,2,0)</f>
        <v/>
      </c>
      <c r="U165" s="52">
        <f>VLOOKUP(S165,'[1]COUNTRY LIST2'!$B$2:$G$254,3,0)</f>
        <v/>
      </c>
      <c r="V165" s="52">
        <f>VLOOKUP(S165,'[1]COUNTRY LIST2'!$B$2:$G$254,6,0)</f>
        <v/>
      </c>
      <c r="W165" s="52">
        <f>VLOOKUP(S165,'[1]COUNTRY LIST2'!$B$2:$G$254,5,0)</f>
        <v/>
      </c>
      <c r="X165" s="52" t="n"/>
      <c r="Y165" s="62" t="n"/>
      <c r="Z165" s="63">
        <f>VLOOKUP(Y165,[1]OTH!A:B,2,0)</f>
        <v/>
      </c>
      <c r="AB165" s="63">
        <f>VLOOKUP(Y165,[1]OTH!$A$1:$C$22,3,0)</f>
        <v/>
      </c>
      <c r="AF165" s="64">
        <f>G165*H165</f>
        <v/>
      </c>
      <c r="AI165" s="65" t="n"/>
      <c r="AJ165" s="66">
        <f>ROUND(I165,2)</f>
        <v/>
      </c>
      <c r="AK165" s="40" t="inlineStr">
        <is>
          <t>x</t>
        </is>
      </c>
      <c r="AL165" s="67" t="n"/>
      <c r="AM165" s="40" t="inlineStr">
        <is>
          <t>x</t>
        </is>
      </c>
      <c r="AN165" s="13" t="n">
        <v>0</v>
      </c>
      <c r="AO165" s="13" t="n">
        <v>0</v>
      </c>
      <c r="AP165" s="13">
        <f>AN165+AO165</f>
        <v/>
      </c>
      <c r="AQ165" s="13">
        <f>AP165*G165</f>
        <v/>
      </c>
    </row>
    <row r="166" ht="10.25" customFormat="1" customHeight="1" s="9">
      <c r="B166" s="52" t="n"/>
      <c r="C166" s="52" t="n"/>
      <c r="D166" s="69" t="n"/>
      <c r="E166" s="52" t="n"/>
      <c r="F166" s="52" t="n"/>
      <c r="G166" s="71" t="n"/>
      <c r="H166" s="55" t="n"/>
      <c r="I166" s="56" t="n"/>
      <c r="J166" s="57" t="n"/>
      <c r="K166" s="58" t="n"/>
      <c r="L166" s="56" t="n"/>
      <c r="M166" s="59" t="n"/>
      <c r="N166" s="60" t="n"/>
      <c r="O166" s="60" t="n"/>
      <c r="P166" s="61" t="n"/>
      <c r="Q166" s="52" t="n"/>
      <c r="R166" s="52" t="n"/>
      <c r="S166" s="52" t="n"/>
      <c r="T166" s="52">
        <f>VLOOKUP(S166,'[1]COUNTRY LIST2'!$B$2:$G$254,2,0)</f>
        <v/>
      </c>
      <c r="U166" s="52">
        <f>VLOOKUP(S166,'[1]COUNTRY LIST2'!$B$2:$G$254,3,0)</f>
        <v/>
      </c>
      <c r="V166" s="52">
        <f>VLOOKUP(S166,'[1]COUNTRY LIST2'!$B$2:$G$254,6,0)</f>
        <v/>
      </c>
      <c r="W166" s="52">
        <f>VLOOKUP(S166,'[1]COUNTRY LIST2'!$B$2:$G$254,5,0)</f>
        <v/>
      </c>
      <c r="X166" s="52" t="n"/>
      <c r="Y166" s="62" t="n"/>
      <c r="Z166" s="63">
        <f>VLOOKUP(Y166,[1]OTH!A:B,2,0)</f>
        <v/>
      </c>
      <c r="AB166" s="63">
        <f>VLOOKUP(Y166,[1]OTH!$A$1:$C$22,3,0)</f>
        <v/>
      </c>
      <c r="AF166" s="64">
        <f>G166*H166</f>
        <v/>
      </c>
      <c r="AI166" s="65" t="n"/>
      <c r="AJ166" s="66">
        <f>ROUND(I166,2)</f>
        <v/>
      </c>
      <c r="AK166" s="40" t="inlineStr">
        <is>
          <t>x</t>
        </is>
      </c>
      <c r="AL166" s="67" t="n"/>
      <c r="AM166" s="40" t="inlineStr">
        <is>
          <t>x</t>
        </is>
      </c>
      <c r="AN166" s="13" t="n">
        <v>0</v>
      </c>
      <c r="AO166" s="13" t="n">
        <v>0</v>
      </c>
      <c r="AP166" s="13">
        <f>AN166+AO166</f>
        <v/>
      </c>
      <c r="AQ166" s="13">
        <f>AP166*G166</f>
        <v/>
      </c>
    </row>
    <row r="167" ht="10.25" customFormat="1" customHeight="1" s="9">
      <c r="B167" s="52" t="n"/>
      <c r="C167" s="52" t="n"/>
      <c r="D167" s="69" t="n"/>
      <c r="E167" s="52" t="n"/>
      <c r="F167" s="52" t="n"/>
      <c r="G167" s="71" t="n"/>
      <c r="H167" s="55" t="n"/>
      <c r="I167" s="56" t="n"/>
      <c r="J167" s="57" t="n"/>
      <c r="K167" s="58" t="n"/>
      <c r="L167" s="56" t="n"/>
      <c r="M167" s="59" t="n"/>
      <c r="N167" s="60" t="n"/>
      <c r="O167" s="60" t="n"/>
      <c r="P167" s="61" t="n"/>
      <c r="Q167" s="52" t="n"/>
      <c r="R167" s="52" t="n"/>
      <c r="S167" s="52" t="n"/>
      <c r="T167" s="52">
        <f>VLOOKUP(S167,'[1]COUNTRY LIST2'!$B$2:$G$254,2,0)</f>
        <v/>
      </c>
      <c r="U167" s="52">
        <f>VLOOKUP(S167,'[1]COUNTRY LIST2'!$B$2:$G$254,3,0)</f>
        <v/>
      </c>
      <c r="V167" s="52">
        <f>VLOOKUP(S167,'[1]COUNTRY LIST2'!$B$2:$G$254,6,0)</f>
        <v/>
      </c>
      <c r="W167" s="52">
        <f>VLOOKUP(S167,'[1]COUNTRY LIST2'!$B$2:$G$254,5,0)</f>
        <v/>
      </c>
      <c r="X167" s="52" t="n"/>
      <c r="Y167" s="62" t="n"/>
      <c r="Z167" s="63">
        <f>VLOOKUP(Y167,[1]OTH!A:B,2,0)</f>
        <v/>
      </c>
      <c r="AB167" s="63">
        <f>VLOOKUP(Y167,[1]OTH!$A$1:$C$22,3,0)</f>
        <v/>
      </c>
      <c r="AF167" s="64">
        <f>G167*H167</f>
        <v/>
      </c>
      <c r="AI167" s="65" t="n"/>
      <c r="AJ167" s="66">
        <f>ROUND(I167,2)</f>
        <v/>
      </c>
      <c r="AK167" s="40" t="inlineStr">
        <is>
          <t>x</t>
        </is>
      </c>
      <c r="AL167" s="67" t="n"/>
      <c r="AM167" s="40" t="inlineStr">
        <is>
          <t>x</t>
        </is>
      </c>
      <c r="AN167" s="13" t="n">
        <v>0</v>
      </c>
      <c r="AO167" s="13" t="n">
        <v>0</v>
      </c>
      <c r="AP167" s="13">
        <f>AN167+AO167</f>
        <v/>
      </c>
      <c r="AQ167" s="13">
        <f>AP167*G167</f>
        <v/>
      </c>
    </row>
    <row r="168" ht="10.25" customFormat="1" customHeight="1" s="9">
      <c r="B168" s="52" t="n"/>
      <c r="C168" s="52" t="n"/>
      <c r="D168" s="69" t="n"/>
      <c r="E168" s="52" t="n"/>
      <c r="F168" s="52" t="n"/>
      <c r="G168" s="71" t="n"/>
      <c r="H168" s="55" t="n"/>
      <c r="I168" s="56" t="n"/>
      <c r="J168" s="57" t="n"/>
      <c r="K168" s="58" t="n"/>
      <c r="L168" s="56" t="n"/>
      <c r="M168" s="59" t="n"/>
      <c r="N168" s="60" t="n"/>
      <c r="O168" s="60" t="n"/>
      <c r="P168" s="61" t="n"/>
      <c r="Q168" s="52" t="n"/>
      <c r="R168" s="52" t="n"/>
      <c r="S168" s="52" t="n"/>
      <c r="T168" s="52">
        <f>VLOOKUP(S168,'[1]COUNTRY LIST2'!$B$2:$G$254,2,0)</f>
        <v/>
      </c>
      <c r="U168" s="52">
        <f>VLOOKUP(S168,'[1]COUNTRY LIST2'!$B$2:$G$254,3,0)</f>
        <v/>
      </c>
      <c r="V168" s="52">
        <f>VLOOKUP(S168,'[1]COUNTRY LIST2'!$B$2:$G$254,6,0)</f>
        <v/>
      </c>
      <c r="W168" s="52">
        <f>VLOOKUP(S168,'[1]COUNTRY LIST2'!$B$2:$G$254,5,0)</f>
        <v/>
      </c>
      <c r="X168" s="52" t="n"/>
      <c r="Y168" s="62" t="n"/>
      <c r="Z168" s="63">
        <f>VLOOKUP(Y168,[1]OTH!A:B,2,0)</f>
        <v/>
      </c>
      <c r="AB168" s="63">
        <f>VLOOKUP(Y168,[1]OTH!$A$1:$C$22,3,0)</f>
        <v/>
      </c>
      <c r="AF168" s="64">
        <f>G168*H168</f>
        <v/>
      </c>
      <c r="AI168" s="65" t="n"/>
      <c r="AJ168" s="66">
        <f>ROUND(I168,2)</f>
        <v/>
      </c>
      <c r="AK168" s="40" t="inlineStr">
        <is>
          <t>x</t>
        </is>
      </c>
      <c r="AL168" s="67" t="n"/>
      <c r="AM168" s="40" t="inlineStr">
        <is>
          <t>x</t>
        </is>
      </c>
      <c r="AN168" s="13" t="n">
        <v>0</v>
      </c>
      <c r="AO168" s="13" t="n">
        <v>0</v>
      </c>
      <c r="AP168" s="13">
        <f>AN168+AO168</f>
        <v/>
      </c>
      <c r="AQ168" s="13">
        <f>AP168*G168</f>
        <v/>
      </c>
    </row>
    <row r="169" ht="10.25" customFormat="1" customHeight="1" s="9">
      <c r="B169" s="52" t="n"/>
      <c r="C169" s="52" t="n"/>
      <c r="D169" s="69" t="n"/>
      <c r="E169" s="52" t="n"/>
      <c r="F169" s="52" t="n"/>
      <c r="G169" s="71" t="n"/>
      <c r="H169" s="55" t="n"/>
      <c r="I169" s="56" t="n"/>
      <c r="J169" s="57" t="n"/>
      <c r="K169" s="58" t="n"/>
      <c r="L169" s="56" t="n"/>
      <c r="M169" s="59" t="n"/>
      <c r="N169" s="60" t="n"/>
      <c r="O169" s="60" t="n"/>
      <c r="P169" s="61" t="n"/>
      <c r="Q169" s="52" t="n"/>
      <c r="R169" s="52" t="n"/>
      <c r="S169" s="52" t="n"/>
      <c r="T169" s="52">
        <f>VLOOKUP(S169,'[1]COUNTRY LIST2'!$B$2:$G$254,2,0)</f>
        <v/>
      </c>
      <c r="U169" s="52">
        <f>VLOOKUP(S169,'[1]COUNTRY LIST2'!$B$2:$G$254,3,0)</f>
        <v/>
      </c>
      <c r="V169" s="52">
        <f>VLOOKUP(S169,'[1]COUNTRY LIST2'!$B$2:$G$254,6,0)</f>
        <v/>
      </c>
      <c r="W169" s="52">
        <f>VLOOKUP(S169,'[1]COUNTRY LIST2'!$B$2:$G$254,5,0)</f>
        <v/>
      </c>
      <c r="X169" s="52" t="n"/>
      <c r="Y169" s="62" t="n"/>
      <c r="Z169" s="63">
        <f>VLOOKUP(Y169,[1]OTH!A:B,2,0)</f>
        <v/>
      </c>
      <c r="AB169" s="63">
        <f>VLOOKUP(Y169,[1]OTH!$A$1:$C$22,3,0)</f>
        <v/>
      </c>
      <c r="AF169" s="64">
        <f>G169*H169</f>
        <v/>
      </c>
      <c r="AI169" s="65" t="n"/>
      <c r="AJ169" s="66">
        <f>ROUND(I169,2)</f>
        <v/>
      </c>
      <c r="AK169" s="40" t="inlineStr">
        <is>
          <t>x</t>
        </is>
      </c>
      <c r="AL169" s="67" t="n"/>
      <c r="AM169" s="40" t="inlineStr">
        <is>
          <t>x</t>
        </is>
      </c>
      <c r="AN169" s="13" t="n">
        <v>0</v>
      </c>
      <c r="AO169" s="13" t="n">
        <v>0</v>
      </c>
      <c r="AP169" s="13">
        <f>AN169+AO169</f>
        <v/>
      </c>
      <c r="AQ169" s="13">
        <f>AP169*G169</f>
        <v/>
      </c>
    </row>
    <row r="170" ht="10.25" customFormat="1" customHeight="1" s="9">
      <c r="B170" s="52" t="n"/>
      <c r="C170" s="52" t="n"/>
      <c r="D170" s="69" t="n"/>
      <c r="E170" s="52" t="n"/>
      <c r="F170" s="52" t="n"/>
      <c r="G170" s="71" t="n"/>
      <c r="H170" s="55" t="n"/>
      <c r="I170" s="56" t="n"/>
      <c r="J170" s="57" t="n"/>
      <c r="K170" s="58" t="n"/>
      <c r="L170" s="56" t="n"/>
      <c r="M170" s="59" t="n"/>
      <c r="N170" s="60" t="n"/>
      <c r="O170" s="60" t="n"/>
      <c r="P170" s="61" t="n"/>
      <c r="Q170" s="52" t="n"/>
      <c r="R170" s="52" t="n"/>
      <c r="S170" s="52" t="n"/>
      <c r="T170" s="52">
        <f>VLOOKUP(S170,'[1]COUNTRY LIST2'!$B$2:$G$254,2,0)</f>
        <v/>
      </c>
      <c r="U170" s="52">
        <f>VLOOKUP(S170,'[1]COUNTRY LIST2'!$B$2:$G$254,3,0)</f>
        <v/>
      </c>
      <c r="V170" s="52">
        <f>VLOOKUP(S170,'[1]COUNTRY LIST2'!$B$2:$G$254,6,0)</f>
        <v/>
      </c>
      <c r="W170" s="52">
        <f>VLOOKUP(S170,'[1]COUNTRY LIST2'!$B$2:$G$254,5,0)</f>
        <v/>
      </c>
      <c r="X170" s="52" t="n"/>
      <c r="Y170" s="62" t="n"/>
      <c r="Z170" s="63">
        <f>VLOOKUP(Y170,[1]OTH!A:B,2,0)</f>
        <v/>
      </c>
      <c r="AB170" s="63">
        <f>VLOOKUP(Y170,[1]OTH!$A$1:$C$22,3,0)</f>
        <v/>
      </c>
      <c r="AF170" s="64">
        <f>G170*H170</f>
        <v/>
      </c>
      <c r="AI170" s="65" t="n"/>
      <c r="AJ170" s="66">
        <f>ROUND(I170,2)</f>
        <v/>
      </c>
      <c r="AK170" s="40" t="inlineStr">
        <is>
          <t>x</t>
        </is>
      </c>
      <c r="AL170" s="67" t="n"/>
      <c r="AM170" s="40" t="inlineStr">
        <is>
          <t>x</t>
        </is>
      </c>
      <c r="AN170" s="13" t="n">
        <v>0</v>
      </c>
      <c r="AO170" s="13" t="n">
        <v>0</v>
      </c>
      <c r="AP170" s="13">
        <f>AN170+AO170</f>
        <v/>
      </c>
      <c r="AQ170" s="13">
        <f>AP170*G170</f>
        <v/>
      </c>
    </row>
    <row r="171" ht="10.25" customFormat="1" customHeight="1" s="9">
      <c r="B171" s="52" t="n"/>
      <c r="C171" s="52" t="n"/>
      <c r="D171" s="69" t="n"/>
      <c r="E171" s="52" t="n"/>
      <c r="F171" s="52" t="n"/>
      <c r="G171" s="71" t="n"/>
      <c r="H171" s="55" t="n"/>
      <c r="I171" s="56" t="n"/>
      <c r="J171" s="57" t="n"/>
      <c r="K171" s="58" t="n"/>
      <c r="L171" s="56" t="n"/>
      <c r="M171" s="59" t="n"/>
      <c r="N171" s="60" t="n"/>
      <c r="O171" s="60" t="n"/>
      <c r="P171" s="61" t="n"/>
      <c r="Q171" s="52" t="n"/>
      <c r="R171" s="52" t="n"/>
      <c r="S171" s="52" t="n"/>
      <c r="T171" s="52">
        <f>VLOOKUP(S171,'[1]COUNTRY LIST2'!$B$2:$G$254,2,0)</f>
        <v/>
      </c>
      <c r="U171" s="52">
        <f>VLOOKUP(S171,'[1]COUNTRY LIST2'!$B$2:$G$254,3,0)</f>
        <v/>
      </c>
      <c r="V171" s="52">
        <f>VLOOKUP(S171,'[1]COUNTRY LIST2'!$B$2:$G$254,6,0)</f>
        <v/>
      </c>
      <c r="W171" s="52">
        <f>VLOOKUP(S171,'[1]COUNTRY LIST2'!$B$2:$G$254,5,0)</f>
        <v/>
      </c>
      <c r="X171" s="52" t="n"/>
      <c r="Y171" s="62" t="n"/>
      <c r="Z171" s="63">
        <f>VLOOKUP(Y171,[1]OTH!A:B,2,0)</f>
        <v/>
      </c>
      <c r="AB171" s="63">
        <f>VLOOKUP(Y171,[1]OTH!$A$1:$C$22,3,0)</f>
        <v/>
      </c>
      <c r="AF171" s="64">
        <f>G171*H171</f>
        <v/>
      </c>
      <c r="AI171" s="65" t="n"/>
      <c r="AJ171" s="66">
        <f>ROUND(I171,2)</f>
        <v/>
      </c>
      <c r="AK171" s="40" t="inlineStr">
        <is>
          <t>x</t>
        </is>
      </c>
      <c r="AL171" s="67" t="n"/>
      <c r="AM171" s="40" t="inlineStr">
        <is>
          <t>x</t>
        </is>
      </c>
      <c r="AN171" s="13" t="n">
        <v>0</v>
      </c>
      <c r="AO171" s="13" t="n">
        <v>0</v>
      </c>
      <c r="AP171" s="13">
        <f>AN171+AO171</f>
        <v/>
      </c>
      <c r="AQ171" s="13">
        <f>AP171*G171</f>
        <v/>
      </c>
    </row>
    <row r="172" ht="10.25" customFormat="1" customHeight="1" s="9">
      <c r="B172" s="52" t="n"/>
      <c r="C172" s="52" t="n"/>
      <c r="D172" s="69" t="n"/>
      <c r="E172" s="52" t="n"/>
      <c r="F172" s="52" t="n"/>
      <c r="G172" s="71" t="n"/>
      <c r="H172" s="55" t="n"/>
      <c r="I172" s="56" t="n"/>
      <c r="J172" s="57" t="n"/>
      <c r="K172" s="58" t="n"/>
      <c r="L172" s="56" t="n"/>
      <c r="M172" s="59" t="n"/>
      <c r="N172" s="60" t="n"/>
      <c r="O172" s="60" t="n"/>
      <c r="P172" s="61" t="n"/>
      <c r="Q172" s="52" t="n"/>
      <c r="R172" s="52" t="n"/>
      <c r="S172" s="52" t="n"/>
      <c r="T172" s="52">
        <f>VLOOKUP(S172,'[1]COUNTRY LIST2'!$B$2:$G$254,2,0)</f>
        <v/>
      </c>
      <c r="U172" s="52">
        <f>VLOOKUP(S172,'[1]COUNTRY LIST2'!$B$2:$G$254,3,0)</f>
        <v/>
      </c>
      <c r="V172" s="52">
        <f>VLOOKUP(S172,'[1]COUNTRY LIST2'!$B$2:$G$254,6,0)</f>
        <v/>
      </c>
      <c r="W172" s="52">
        <f>VLOOKUP(S172,'[1]COUNTRY LIST2'!$B$2:$G$254,5,0)</f>
        <v/>
      </c>
      <c r="X172" s="52" t="n"/>
      <c r="Y172" s="62" t="n"/>
      <c r="Z172" s="63">
        <f>VLOOKUP(Y172,[1]OTH!A:B,2,0)</f>
        <v/>
      </c>
      <c r="AB172" s="63">
        <f>VLOOKUP(Y172,[1]OTH!$A$1:$C$22,3,0)</f>
        <v/>
      </c>
      <c r="AF172" s="64">
        <f>G172*H172</f>
        <v/>
      </c>
      <c r="AI172" s="65" t="n"/>
      <c r="AJ172" s="66">
        <f>ROUND(I172,2)</f>
        <v/>
      </c>
      <c r="AK172" s="40" t="inlineStr">
        <is>
          <t>x</t>
        </is>
      </c>
      <c r="AL172" s="67" t="n"/>
      <c r="AM172" s="40" t="inlineStr">
        <is>
          <t>x</t>
        </is>
      </c>
      <c r="AN172" s="13" t="n">
        <v>0</v>
      </c>
      <c r="AO172" s="13" t="n">
        <v>0</v>
      </c>
      <c r="AP172" s="13">
        <f>AN172+AO172</f>
        <v/>
      </c>
      <c r="AQ172" s="13">
        <f>AP172*G172</f>
        <v/>
      </c>
    </row>
    <row r="173" ht="10.25" customFormat="1" customHeight="1" s="9">
      <c r="B173" s="52" t="n"/>
      <c r="C173" s="52" t="n"/>
      <c r="D173" s="69" t="n"/>
      <c r="E173" s="52" t="n"/>
      <c r="F173" s="52" t="n"/>
      <c r="G173" s="71" t="n"/>
      <c r="H173" s="55" t="n"/>
      <c r="I173" s="56" t="n"/>
      <c r="J173" s="57" t="n"/>
      <c r="K173" s="58" t="n"/>
      <c r="L173" s="56" t="n"/>
      <c r="M173" s="59" t="n"/>
      <c r="N173" s="60" t="n"/>
      <c r="O173" s="60" t="n"/>
      <c r="P173" s="61" t="n"/>
      <c r="Q173" s="52" t="n"/>
      <c r="R173" s="52" t="n"/>
      <c r="S173" s="52" t="n"/>
      <c r="T173" s="52">
        <f>VLOOKUP(S173,'[1]COUNTRY LIST2'!$B$2:$G$254,2,0)</f>
        <v/>
      </c>
      <c r="U173" s="52">
        <f>VLOOKUP(S173,'[1]COUNTRY LIST2'!$B$2:$G$254,3,0)</f>
        <v/>
      </c>
      <c r="V173" s="52">
        <f>VLOOKUP(S173,'[1]COUNTRY LIST2'!$B$2:$G$254,6,0)</f>
        <v/>
      </c>
      <c r="W173" s="52">
        <f>VLOOKUP(S173,'[1]COUNTRY LIST2'!$B$2:$G$254,5,0)</f>
        <v/>
      </c>
      <c r="X173" s="52" t="n"/>
      <c r="Y173" s="62" t="n"/>
      <c r="Z173" s="63">
        <f>VLOOKUP(Y173,[1]OTH!A:B,2,0)</f>
        <v/>
      </c>
      <c r="AB173" s="63">
        <f>VLOOKUP(Y173,[1]OTH!$A$1:$C$22,3,0)</f>
        <v/>
      </c>
      <c r="AF173" s="64">
        <f>G173*H173</f>
        <v/>
      </c>
      <c r="AI173" s="65" t="n"/>
      <c r="AJ173" s="66">
        <f>ROUND(I173,2)</f>
        <v/>
      </c>
      <c r="AK173" s="40" t="inlineStr">
        <is>
          <t>x</t>
        </is>
      </c>
      <c r="AL173" s="67" t="n"/>
      <c r="AM173" s="40" t="inlineStr">
        <is>
          <t>x</t>
        </is>
      </c>
      <c r="AN173" s="13" t="n">
        <v>0</v>
      </c>
      <c r="AO173" s="13" t="n">
        <v>0</v>
      </c>
      <c r="AP173" s="13">
        <f>AN173+AO173</f>
        <v/>
      </c>
      <c r="AQ173" s="13">
        <f>AP173*G173</f>
        <v/>
      </c>
    </row>
    <row r="174" ht="10.25" customFormat="1" customHeight="1" s="9">
      <c r="B174" s="52" t="n"/>
      <c r="C174" s="52" t="n"/>
      <c r="D174" s="69" t="n"/>
      <c r="E174" s="52" t="n"/>
      <c r="F174" s="52" t="n"/>
      <c r="G174" s="71" t="n"/>
      <c r="H174" s="55" t="n"/>
      <c r="I174" s="56" t="n"/>
      <c r="J174" s="57" t="n"/>
      <c r="K174" s="58" t="n"/>
      <c r="L174" s="56" t="n"/>
      <c r="M174" s="59" t="n"/>
      <c r="N174" s="60" t="n"/>
      <c r="O174" s="60" t="n"/>
      <c r="P174" s="61" t="n"/>
      <c r="Q174" s="52" t="n"/>
      <c r="R174" s="52" t="n"/>
      <c r="S174" s="52" t="n"/>
      <c r="T174" s="52">
        <f>VLOOKUP(S174,'[1]COUNTRY LIST2'!$B$2:$G$254,2,0)</f>
        <v/>
      </c>
      <c r="U174" s="52">
        <f>VLOOKUP(S174,'[1]COUNTRY LIST2'!$B$2:$G$254,3,0)</f>
        <v/>
      </c>
      <c r="V174" s="52">
        <f>VLOOKUP(S174,'[1]COUNTRY LIST2'!$B$2:$G$254,6,0)</f>
        <v/>
      </c>
      <c r="W174" s="52">
        <f>VLOOKUP(S174,'[1]COUNTRY LIST2'!$B$2:$G$254,5,0)</f>
        <v/>
      </c>
      <c r="X174" s="52" t="n"/>
      <c r="Y174" s="62" t="n"/>
      <c r="Z174" s="63">
        <f>VLOOKUP(Y174,[1]OTH!A:B,2,0)</f>
        <v/>
      </c>
      <c r="AB174" s="63">
        <f>VLOOKUP(Y174,[1]OTH!$A$1:$C$22,3,0)</f>
        <v/>
      </c>
      <c r="AF174" s="64">
        <f>G174*H174</f>
        <v/>
      </c>
      <c r="AI174" s="65" t="n"/>
      <c r="AJ174" s="66">
        <f>ROUND(I174,2)</f>
        <v/>
      </c>
      <c r="AK174" s="40" t="inlineStr">
        <is>
          <t>x</t>
        </is>
      </c>
      <c r="AL174" s="67" t="n"/>
      <c r="AM174" s="40" t="inlineStr">
        <is>
          <t>x</t>
        </is>
      </c>
      <c r="AN174" s="13" t="n">
        <v>0</v>
      </c>
      <c r="AO174" s="13" t="n">
        <v>0</v>
      </c>
      <c r="AP174" s="13">
        <f>AN174+AO174</f>
        <v/>
      </c>
      <c r="AQ174" s="13">
        <f>AP174*G174</f>
        <v/>
      </c>
    </row>
    <row r="175" ht="10.25" customFormat="1" customHeight="1" s="9">
      <c r="B175" s="52" t="n"/>
      <c r="C175" s="52" t="n"/>
      <c r="D175" s="69" t="n"/>
      <c r="E175" s="52" t="n"/>
      <c r="F175" s="52" t="n"/>
      <c r="G175" s="71" t="n"/>
      <c r="H175" s="55" t="n"/>
      <c r="I175" s="56" t="n"/>
      <c r="J175" s="57" t="n"/>
      <c r="K175" s="58" t="n"/>
      <c r="L175" s="56" t="n"/>
      <c r="M175" s="59" t="n"/>
      <c r="N175" s="60" t="n"/>
      <c r="O175" s="60" t="n"/>
      <c r="P175" s="61" t="n"/>
      <c r="Q175" s="52" t="n"/>
      <c r="R175" s="52" t="n"/>
      <c r="S175" s="52" t="n"/>
      <c r="T175" s="52">
        <f>VLOOKUP(S175,'[1]COUNTRY LIST2'!$B$2:$G$254,2,0)</f>
        <v/>
      </c>
      <c r="U175" s="52">
        <f>VLOOKUP(S175,'[1]COUNTRY LIST2'!$B$2:$G$254,3,0)</f>
        <v/>
      </c>
      <c r="V175" s="52">
        <f>VLOOKUP(S175,'[1]COUNTRY LIST2'!$B$2:$G$254,6,0)</f>
        <v/>
      </c>
      <c r="W175" s="52">
        <f>VLOOKUP(S175,'[1]COUNTRY LIST2'!$B$2:$G$254,5,0)</f>
        <v/>
      </c>
      <c r="X175" s="52" t="n"/>
      <c r="Y175" s="62" t="n"/>
      <c r="Z175" s="63">
        <f>VLOOKUP(Y175,[1]OTH!A:B,2,0)</f>
        <v/>
      </c>
      <c r="AB175" s="63">
        <f>VLOOKUP(Y175,[1]OTH!$A$1:$C$22,3,0)</f>
        <v/>
      </c>
      <c r="AF175" s="64">
        <f>G175*H175</f>
        <v/>
      </c>
      <c r="AI175" s="65" t="n"/>
      <c r="AJ175" s="66">
        <f>ROUND(I175,2)</f>
        <v/>
      </c>
      <c r="AK175" s="40" t="inlineStr">
        <is>
          <t>x</t>
        </is>
      </c>
      <c r="AL175" s="67" t="n"/>
      <c r="AM175" s="40" t="inlineStr">
        <is>
          <t>x</t>
        </is>
      </c>
      <c r="AN175" s="13" t="n">
        <v>0</v>
      </c>
      <c r="AO175" s="13" t="n">
        <v>0</v>
      </c>
      <c r="AP175" s="13">
        <f>AN175+AO175</f>
        <v/>
      </c>
      <c r="AQ175" s="13">
        <f>AP175*G175</f>
        <v/>
      </c>
    </row>
    <row r="176" ht="10.25" customFormat="1" customHeight="1" s="9">
      <c r="B176" s="52" t="n"/>
      <c r="C176" s="52" t="n"/>
      <c r="D176" s="69" t="n"/>
      <c r="E176" s="52" t="n"/>
      <c r="F176" s="52" t="n"/>
      <c r="G176" s="71" t="n"/>
      <c r="H176" s="55" t="n"/>
      <c r="I176" s="56" t="n"/>
      <c r="J176" s="57" t="n"/>
      <c r="K176" s="58" t="n"/>
      <c r="L176" s="56" t="n"/>
      <c r="M176" s="59" t="n"/>
      <c r="N176" s="60" t="n"/>
      <c r="O176" s="60" t="n"/>
      <c r="P176" s="61" t="n"/>
      <c r="Q176" s="52" t="n"/>
      <c r="R176" s="52" t="n"/>
      <c r="S176" s="52" t="n"/>
      <c r="T176" s="52">
        <f>VLOOKUP(S176,'[1]COUNTRY LIST2'!$B$2:$G$254,2,0)</f>
        <v/>
      </c>
      <c r="U176" s="52">
        <f>VLOOKUP(S176,'[1]COUNTRY LIST2'!$B$2:$G$254,3,0)</f>
        <v/>
      </c>
      <c r="V176" s="52">
        <f>VLOOKUP(S176,'[1]COUNTRY LIST2'!$B$2:$G$254,6,0)</f>
        <v/>
      </c>
      <c r="W176" s="52">
        <f>VLOOKUP(S176,'[1]COUNTRY LIST2'!$B$2:$G$254,5,0)</f>
        <v/>
      </c>
      <c r="X176" s="52" t="n"/>
      <c r="Y176" s="62" t="n"/>
      <c r="Z176" s="63">
        <f>VLOOKUP(Y176,[1]OTH!A:B,2,0)</f>
        <v/>
      </c>
      <c r="AB176" s="63">
        <f>VLOOKUP(Y176,[1]OTH!$A$1:$C$22,3,0)</f>
        <v/>
      </c>
      <c r="AF176" s="64">
        <f>G176*H176</f>
        <v/>
      </c>
      <c r="AI176" s="65" t="n"/>
      <c r="AJ176" s="66">
        <f>ROUND(I176,2)</f>
        <v/>
      </c>
      <c r="AK176" s="40" t="inlineStr">
        <is>
          <t>x</t>
        </is>
      </c>
      <c r="AL176" s="67" t="n"/>
      <c r="AM176" s="40" t="inlineStr">
        <is>
          <t>x</t>
        </is>
      </c>
      <c r="AN176" s="13" t="n">
        <v>0</v>
      </c>
      <c r="AO176" s="13" t="n">
        <v>0</v>
      </c>
      <c r="AP176" s="13">
        <f>AN176+AO176</f>
        <v/>
      </c>
      <c r="AQ176" s="13">
        <f>AP176*G176</f>
        <v/>
      </c>
    </row>
    <row r="177" ht="10.25" customFormat="1" customHeight="1" s="9">
      <c r="B177" s="52" t="n"/>
      <c r="C177" s="52" t="n"/>
      <c r="D177" s="69" t="n"/>
      <c r="E177" s="52" t="n"/>
      <c r="F177" s="52" t="n"/>
      <c r="G177" s="71" t="n"/>
      <c r="H177" s="55" t="n"/>
      <c r="I177" s="56" t="n"/>
      <c r="J177" s="57" t="n"/>
      <c r="K177" s="58" t="n"/>
      <c r="L177" s="56" t="n"/>
      <c r="M177" s="59" t="n"/>
      <c r="N177" s="60" t="n"/>
      <c r="O177" s="60" t="n"/>
      <c r="P177" s="61" t="n"/>
      <c r="Q177" s="52" t="n"/>
      <c r="R177" s="52" t="n"/>
      <c r="S177" s="52" t="n"/>
      <c r="T177" s="52">
        <f>VLOOKUP(S177,'[1]COUNTRY LIST2'!$B$2:$G$254,2,0)</f>
        <v/>
      </c>
      <c r="U177" s="52">
        <f>VLOOKUP(S177,'[1]COUNTRY LIST2'!$B$2:$G$254,3,0)</f>
        <v/>
      </c>
      <c r="V177" s="52">
        <f>VLOOKUP(S177,'[1]COUNTRY LIST2'!$B$2:$G$254,6,0)</f>
        <v/>
      </c>
      <c r="W177" s="52">
        <f>VLOOKUP(S177,'[1]COUNTRY LIST2'!$B$2:$G$254,5,0)</f>
        <v/>
      </c>
      <c r="X177" s="52" t="n"/>
      <c r="Y177" s="62" t="n"/>
      <c r="Z177" s="63">
        <f>VLOOKUP(Y177,[1]OTH!A:B,2,0)</f>
        <v/>
      </c>
      <c r="AB177" s="63">
        <f>VLOOKUP(Y177,[1]OTH!$A$1:$C$22,3,0)</f>
        <v/>
      </c>
      <c r="AF177" s="64">
        <f>G177*H177</f>
        <v/>
      </c>
      <c r="AI177" s="65" t="n"/>
      <c r="AJ177" s="66">
        <f>ROUND(I177,2)</f>
        <v/>
      </c>
      <c r="AK177" s="40" t="inlineStr">
        <is>
          <t>x</t>
        </is>
      </c>
      <c r="AL177" s="67" t="n"/>
      <c r="AM177" s="40" t="inlineStr">
        <is>
          <t>x</t>
        </is>
      </c>
      <c r="AN177" s="13" t="n">
        <v>0</v>
      </c>
      <c r="AO177" s="13" t="n">
        <v>0</v>
      </c>
      <c r="AP177" s="13">
        <f>AN177+AO177</f>
        <v/>
      </c>
      <c r="AQ177" s="13">
        <f>AP177*G177</f>
        <v/>
      </c>
    </row>
    <row r="178" ht="10.25" customFormat="1" customHeight="1" s="9">
      <c r="B178" s="52" t="n"/>
      <c r="C178" s="52" t="n"/>
      <c r="D178" s="69" t="n"/>
      <c r="E178" s="52" t="n"/>
      <c r="F178" s="52" t="n"/>
      <c r="G178" s="71" t="n"/>
      <c r="H178" s="55" t="n"/>
      <c r="I178" s="56" t="n"/>
      <c r="J178" s="57" t="n"/>
      <c r="K178" s="58" t="n"/>
      <c r="L178" s="56" t="n"/>
      <c r="M178" s="59" t="n"/>
      <c r="N178" s="60" t="n"/>
      <c r="O178" s="60" t="n"/>
      <c r="P178" s="61" t="n"/>
      <c r="Q178" s="52" t="n"/>
      <c r="R178" s="52" t="n"/>
      <c r="S178" s="52" t="n"/>
      <c r="T178" s="52">
        <f>VLOOKUP(S178,'[1]COUNTRY LIST2'!$B$2:$G$254,2,0)</f>
        <v/>
      </c>
      <c r="U178" s="52">
        <f>VLOOKUP(S178,'[1]COUNTRY LIST2'!$B$2:$G$254,3,0)</f>
        <v/>
      </c>
      <c r="V178" s="52">
        <f>VLOOKUP(S178,'[1]COUNTRY LIST2'!$B$2:$G$254,6,0)</f>
        <v/>
      </c>
      <c r="W178" s="52">
        <f>VLOOKUP(S178,'[1]COUNTRY LIST2'!$B$2:$G$254,5,0)</f>
        <v/>
      </c>
      <c r="X178" s="52" t="n"/>
      <c r="Y178" s="62" t="n"/>
      <c r="Z178" s="63">
        <f>VLOOKUP(Y178,[1]OTH!A:B,2,0)</f>
        <v/>
      </c>
      <c r="AB178" s="63">
        <f>VLOOKUP(Y178,[1]OTH!$A$1:$C$22,3,0)</f>
        <v/>
      </c>
      <c r="AF178" s="64">
        <f>G178*H178</f>
        <v/>
      </c>
      <c r="AI178" s="65" t="n"/>
      <c r="AJ178" s="66">
        <f>ROUND(I178,2)</f>
        <v/>
      </c>
      <c r="AK178" s="40" t="inlineStr">
        <is>
          <t>x</t>
        </is>
      </c>
      <c r="AL178" s="67" t="n"/>
      <c r="AM178" s="40" t="inlineStr">
        <is>
          <t>x</t>
        </is>
      </c>
      <c r="AN178" s="13" t="n">
        <v>0</v>
      </c>
      <c r="AO178" s="13" t="n">
        <v>0</v>
      </c>
      <c r="AP178" s="13">
        <f>AN178+AO178</f>
        <v/>
      </c>
      <c r="AQ178" s="13">
        <f>AP178*G178</f>
        <v/>
      </c>
    </row>
    <row r="179" ht="10.25" customFormat="1" customHeight="1" s="9">
      <c r="B179" s="52" t="n"/>
      <c r="C179" s="52" t="n"/>
      <c r="D179" s="69" t="n"/>
      <c r="E179" s="52" t="n"/>
      <c r="F179" s="52" t="n"/>
      <c r="G179" s="71" t="n"/>
      <c r="H179" s="55" t="n"/>
      <c r="I179" s="56" t="n"/>
      <c r="J179" s="57" t="n"/>
      <c r="K179" s="58" t="n"/>
      <c r="L179" s="56" t="n"/>
      <c r="M179" s="59" t="n"/>
      <c r="N179" s="60" t="n"/>
      <c r="O179" s="60" t="n"/>
      <c r="P179" s="61" t="n"/>
      <c r="Q179" s="52" t="n"/>
      <c r="R179" s="52" t="n"/>
      <c r="S179" s="52" t="n"/>
      <c r="T179" s="52">
        <f>VLOOKUP(S179,'[1]COUNTRY LIST2'!$B$2:$G$254,2,0)</f>
        <v/>
      </c>
      <c r="U179" s="52">
        <f>VLOOKUP(S179,'[1]COUNTRY LIST2'!$B$2:$G$254,3,0)</f>
        <v/>
      </c>
      <c r="V179" s="52">
        <f>VLOOKUP(S179,'[1]COUNTRY LIST2'!$B$2:$G$254,6,0)</f>
        <v/>
      </c>
      <c r="W179" s="52">
        <f>VLOOKUP(S179,'[1]COUNTRY LIST2'!$B$2:$G$254,5,0)</f>
        <v/>
      </c>
      <c r="X179" s="52" t="n"/>
      <c r="Y179" s="62" t="n"/>
      <c r="Z179" s="63">
        <f>VLOOKUP(Y179,[1]OTH!A:B,2,0)</f>
        <v/>
      </c>
      <c r="AB179" s="63">
        <f>VLOOKUP(Y179,[1]OTH!$A$1:$C$22,3,0)</f>
        <v/>
      </c>
      <c r="AF179" s="64">
        <f>G179*H179</f>
        <v/>
      </c>
      <c r="AI179" s="65" t="n"/>
      <c r="AJ179" s="66">
        <f>ROUND(I179,2)</f>
        <v/>
      </c>
      <c r="AK179" s="40" t="inlineStr">
        <is>
          <t>x</t>
        </is>
      </c>
      <c r="AL179" s="67" t="n"/>
      <c r="AM179" s="40" t="inlineStr">
        <is>
          <t>x</t>
        </is>
      </c>
      <c r="AN179" s="13" t="n">
        <v>0</v>
      </c>
      <c r="AO179" s="13" t="n">
        <v>0</v>
      </c>
      <c r="AP179" s="13">
        <f>AN179+AO179</f>
        <v/>
      </c>
      <c r="AQ179" s="13">
        <f>AP179*G179</f>
        <v/>
      </c>
    </row>
    <row r="180" ht="10.25" customFormat="1" customHeight="1" s="9">
      <c r="B180" s="52" t="n"/>
      <c r="C180" s="52" t="n"/>
      <c r="D180" s="69" t="n"/>
      <c r="E180" s="52" t="n"/>
      <c r="F180" s="52" t="n"/>
      <c r="G180" s="71" t="n"/>
      <c r="H180" s="55" t="n"/>
      <c r="I180" s="56" t="n"/>
      <c r="J180" s="57" t="n"/>
      <c r="K180" s="58" t="n"/>
      <c r="L180" s="56" t="n"/>
      <c r="M180" s="59" t="n"/>
      <c r="N180" s="60" t="n"/>
      <c r="O180" s="60" t="n"/>
      <c r="P180" s="61" t="n"/>
      <c r="Q180" s="52" t="n"/>
      <c r="R180" s="52" t="n"/>
      <c r="S180" s="52" t="n"/>
      <c r="T180" s="52">
        <f>VLOOKUP(S180,'[1]COUNTRY LIST2'!$B$2:$G$254,2,0)</f>
        <v/>
      </c>
      <c r="U180" s="52">
        <f>VLOOKUP(S180,'[1]COUNTRY LIST2'!$B$2:$G$254,3,0)</f>
        <v/>
      </c>
      <c r="V180" s="52">
        <f>VLOOKUP(S180,'[1]COUNTRY LIST2'!$B$2:$G$254,6,0)</f>
        <v/>
      </c>
      <c r="W180" s="52">
        <f>VLOOKUP(S180,'[1]COUNTRY LIST2'!$B$2:$G$254,5,0)</f>
        <v/>
      </c>
      <c r="X180" s="52" t="n"/>
      <c r="Y180" s="62" t="n"/>
      <c r="Z180" s="63">
        <f>VLOOKUP(Y180,[1]OTH!A:B,2,0)</f>
        <v/>
      </c>
      <c r="AB180" s="63">
        <f>VLOOKUP(Y180,[1]OTH!$A$1:$C$22,3,0)</f>
        <v/>
      </c>
      <c r="AF180" s="64">
        <f>G180*H180</f>
        <v/>
      </c>
      <c r="AI180" s="65" t="n"/>
      <c r="AJ180" s="66">
        <f>ROUND(I180,2)</f>
        <v/>
      </c>
      <c r="AK180" s="40" t="inlineStr">
        <is>
          <t>x</t>
        </is>
      </c>
      <c r="AL180" s="67" t="n"/>
      <c r="AM180" s="40" t="inlineStr">
        <is>
          <t>x</t>
        </is>
      </c>
      <c r="AN180" s="13" t="n">
        <v>0</v>
      </c>
      <c r="AO180" s="13" t="n">
        <v>0</v>
      </c>
      <c r="AP180" s="13">
        <f>AN180+AO180</f>
        <v/>
      </c>
      <c r="AQ180" s="13">
        <f>AP180*G180</f>
        <v/>
      </c>
    </row>
    <row r="181" ht="10.25" customFormat="1" customHeight="1" s="9">
      <c r="B181" s="52" t="n"/>
      <c r="C181" s="52" t="n"/>
      <c r="D181" s="69" t="n"/>
      <c r="E181" s="52" t="n"/>
      <c r="F181" s="52" t="n"/>
      <c r="G181" s="71" t="n"/>
      <c r="H181" s="55" t="n"/>
      <c r="I181" s="56" t="n"/>
      <c r="J181" s="57" t="n"/>
      <c r="K181" s="58" t="n"/>
      <c r="L181" s="56" t="n"/>
      <c r="M181" s="59" t="n"/>
      <c r="N181" s="60" t="n"/>
      <c r="O181" s="60" t="n"/>
      <c r="P181" s="61" t="n"/>
      <c r="Q181" s="52" t="n"/>
      <c r="R181" s="52" t="n"/>
      <c r="S181" s="52" t="n"/>
      <c r="T181" s="52">
        <f>VLOOKUP(S181,'[1]COUNTRY LIST2'!$B$2:$G$254,2,0)</f>
        <v/>
      </c>
      <c r="U181" s="52">
        <f>VLOOKUP(S181,'[1]COUNTRY LIST2'!$B$2:$G$254,3,0)</f>
        <v/>
      </c>
      <c r="V181" s="52">
        <f>VLOOKUP(S181,'[1]COUNTRY LIST2'!$B$2:$G$254,6,0)</f>
        <v/>
      </c>
      <c r="W181" s="52">
        <f>VLOOKUP(S181,'[1]COUNTRY LIST2'!$B$2:$G$254,5,0)</f>
        <v/>
      </c>
      <c r="X181" s="52" t="n"/>
      <c r="Y181" s="62" t="n"/>
      <c r="Z181" s="63">
        <f>VLOOKUP(Y181,[1]OTH!A:B,2,0)</f>
        <v/>
      </c>
      <c r="AB181" s="63">
        <f>VLOOKUP(Y181,[1]OTH!$A$1:$C$22,3,0)</f>
        <v/>
      </c>
      <c r="AF181" s="64">
        <f>G181*H181</f>
        <v/>
      </c>
      <c r="AI181" s="65" t="n"/>
      <c r="AJ181" s="66">
        <f>ROUND(I181,2)</f>
        <v/>
      </c>
      <c r="AK181" s="40" t="inlineStr">
        <is>
          <t>x</t>
        </is>
      </c>
      <c r="AL181" s="67" t="n"/>
      <c r="AM181" s="40" t="inlineStr">
        <is>
          <t>x</t>
        </is>
      </c>
      <c r="AN181" s="13" t="n">
        <v>0</v>
      </c>
      <c r="AO181" s="13" t="n">
        <v>0</v>
      </c>
      <c r="AP181" s="13">
        <f>AN181+AO181</f>
        <v/>
      </c>
      <c r="AQ181" s="13">
        <f>AP181*G181</f>
        <v/>
      </c>
    </row>
    <row r="182" ht="10.25" customFormat="1" customHeight="1" s="9">
      <c r="B182" s="52" t="n"/>
      <c r="C182" s="52" t="n"/>
      <c r="D182" s="69" t="n"/>
      <c r="E182" s="52" t="n"/>
      <c r="F182" s="52" t="n"/>
      <c r="G182" s="71" t="n"/>
      <c r="H182" s="55" t="n"/>
      <c r="I182" s="56" t="n"/>
      <c r="J182" s="57" t="n"/>
      <c r="K182" s="58" t="n"/>
      <c r="L182" s="56" t="n"/>
      <c r="M182" s="59" t="n"/>
      <c r="N182" s="60" t="n"/>
      <c r="O182" s="60" t="n"/>
      <c r="P182" s="61" t="n"/>
      <c r="Q182" s="52" t="n"/>
      <c r="R182" s="52" t="n"/>
      <c r="S182" s="52" t="n"/>
      <c r="T182" s="52">
        <f>VLOOKUP(S182,'[1]COUNTRY LIST2'!$B$2:$G$254,2,0)</f>
        <v/>
      </c>
      <c r="U182" s="52">
        <f>VLOOKUP(S182,'[1]COUNTRY LIST2'!$B$2:$G$254,3,0)</f>
        <v/>
      </c>
      <c r="V182" s="52">
        <f>VLOOKUP(S182,'[1]COUNTRY LIST2'!$B$2:$G$254,6,0)</f>
        <v/>
      </c>
      <c r="W182" s="52">
        <f>VLOOKUP(S182,'[1]COUNTRY LIST2'!$B$2:$G$254,5,0)</f>
        <v/>
      </c>
      <c r="X182" s="52" t="n"/>
      <c r="Y182" s="62" t="n"/>
      <c r="Z182" s="63">
        <f>VLOOKUP(Y182,[1]OTH!A:B,2,0)</f>
        <v/>
      </c>
      <c r="AB182" s="63">
        <f>VLOOKUP(Y182,[1]OTH!$A$1:$C$22,3,0)</f>
        <v/>
      </c>
      <c r="AF182" s="64">
        <f>G182*H182</f>
        <v/>
      </c>
      <c r="AI182" s="65" t="n"/>
      <c r="AJ182" s="66">
        <f>ROUND(I182,2)</f>
        <v/>
      </c>
      <c r="AK182" s="40" t="inlineStr">
        <is>
          <t>x</t>
        </is>
      </c>
      <c r="AL182" s="67" t="n"/>
      <c r="AM182" s="40" t="inlineStr">
        <is>
          <t>x</t>
        </is>
      </c>
      <c r="AN182" s="13" t="n">
        <v>0</v>
      </c>
      <c r="AO182" s="13" t="n">
        <v>0</v>
      </c>
      <c r="AP182" s="13">
        <f>AN182+AO182</f>
        <v/>
      </c>
      <c r="AQ182" s="13">
        <f>AP182*G182</f>
        <v/>
      </c>
    </row>
    <row r="183" ht="10.25" customFormat="1" customHeight="1" s="9">
      <c r="B183" s="52" t="n"/>
      <c r="C183" s="52" t="n"/>
      <c r="D183" s="69" t="n"/>
      <c r="E183" s="52" t="n"/>
      <c r="F183" s="52" t="n"/>
      <c r="G183" s="71" t="n"/>
      <c r="H183" s="55" t="n"/>
      <c r="I183" s="56" t="n"/>
      <c r="J183" s="57" t="n"/>
      <c r="K183" s="58" t="n"/>
      <c r="L183" s="56" t="n"/>
      <c r="M183" s="59" t="n"/>
      <c r="N183" s="60" t="n"/>
      <c r="O183" s="60" t="n"/>
      <c r="P183" s="61" t="n"/>
      <c r="Q183" s="52" t="n"/>
      <c r="R183" s="52" t="n"/>
      <c r="S183" s="52" t="n"/>
      <c r="T183" s="52">
        <f>VLOOKUP(S183,'[1]COUNTRY LIST2'!$B$2:$G$254,2,0)</f>
        <v/>
      </c>
      <c r="U183" s="52">
        <f>VLOOKUP(S183,'[1]COUNTRY LIST2'!$B$2:$G$254,3,0)</f>
        <v/>
      </c>
      <c r="V183" s="52">
        <f>VLOOKUP(S183,'[1]COUNTRY LIST2'!$B$2:$G$254,6,0)</f>
        <v/>
      </c>
      <c r="W183" s="52">
        <f>VLOOKUP(S183,'[1]COUNTRY LIST2'!$B$2:$G$254,5,0)</f>
        <v/>
      </c>
      <c r="X183" s="52" t="n"/>
      <c r="Y183" s="62" t="n"/>
      <c r="Z183" s="63">
        <f>VLOOKUP(Y183,[1]OTH!A:B,2,0)</f>
        <v/>
      </c>
      <c r="AB183" s="63">
        <f>VLOOKUP(Y183,[1]OTH!$A$1:$C$22,3,0)</f>
        <v/>
      </c>
      <c r="AF183" s="64">
        <f>G183*H183</f>
        <v/>
      </c>
      <c r="AI183" s="65" t="n"/>
      <c r="AJ183" s="66">
        <f>ROUND(I183,2)</f>
        <v/>
      </c>
      <c r="AK183" s="40" t="inlineStr">
        <is>
          <t>x</t>
        </is>
      </c>
      <c r="AL183" s="67" t="n"/>
      <c r="AM183" s="40" t="inlineStr">
        <is>
          <t>x</t>
        </is>
      </c>
      <c r="AN183" s="13" t="n">
        <v>0</v>
      </c>
      <c r="AO183" s="13" t="n">
        <v>0</v>
      </c>
      <c r="AP183" s="13">
        <f>AN183+AO183</f>
        <v/>
      </c>
      <c r="AQ183" s="13">
        <f>AP183*G183</f>
        <v/>
      </c>
    </row>
    <row r="184" ht="10.25" customFormat="1" customHeight="1" s="9">
      <c r="B184" s="52" t="n"/>
      <c r="C184" s="52" t="n"/>
      <c r="D184" s="69" t="n"/>
      <c r="E184" s="52" t="n"/>
      <c r="F184" s="52" t="n"/>
      <c r="G184" s="71" t="n"/>
      <c r="H184" s="55" t="n"/>
      <c r="I184" s="56" t="n"/>
      <c r="J184" s="57" t="n"/>
      <c r="K184" s="58" t="n"/>
      <c r="L184" s="56" t="n"/>
      <c r="M184" s="59" t="n"/>
      <c r="N184" s="60" t="n"/>
      <c r="O184" s="60" t="n"/>
      <c r="P184" s="61" t="n"/>
      <c r="Q184" s="52" t="n"/>
      <c r="R184" s="52" t="n"/>
      <c r="S184" s="52" t="n"/>
      <c r="T184" s="52">
        <f>VLOOKUP(S184,'[1]COUNTRY LIST2'!$B$2:$G$254,2,0)</f>
        <v/>
      </c>
      <c r="U184" s="52">
        <f>VLOOKUP(S184,'[1]COUNTRY LIST2'!$B$2:$G$254,3,0)</f>
        <v/>
      </c>
      <c r="V184" s="52">
        <f>VLOOKUP(S184,'[1]COUNTRY LIST2'!$B$2:$G$254,6,0)</f>
        <v/>
      </c>
      <c r="W184" s="52">
        <f>VLOOKUP(S184,'[1]COUNTRY LIST2'!$B$2:$G$254,5,0)</f>
        <v/>
      </c>
      <c r="X184" s="52" t="n"/>
      <c r="Y184" s="62" t="n"/>
      <c r="Z184" s="63">
        <f>VLOOKUP(Y184,[1]OTH!A:B,2,0)</f>
        <v/>
      </c>
      <c r="AB184" s="63">
        <f>VLOOKUP(Y184,[1]OTH!$A$1:$C$22,3,0)</f>
        <v/>
      </c>
      <c r="AF184" s="64">
        <f>G184*H184</f>
        <v/>
      </c>
      <c r="AI184" s="65" t="n"/>
      <c r="AJ184" s="66">
        <f>ROUND(I184,2)</f>
        <v/>
      </c>
      <c r="AK184" s="40" t="inlineStr">
        <is>
          <t>x</t>
        </is>
      </c>
      <c r="AL184" s="67" t="n"/>
      <c r="AM184" s="40" t="inlineStr">
        <is>
          <t>x</t>
        </is>
      </c>
      <c r="AN184" s="13" t="n">
        <v>0</v>
      </c>
      <c r="AO184" s="13" t="n">
        <v>0</v>
      </c>
      <c r="AP184" s="13">
        <f>AN184+AO184</f>
        <v/>
      </c>
      <c r="AQ184" s="13">
        <f>AP184*G184</f>
        <v/>
      </c>
    </row>
    <row r="185" ht="10.25" customFormat="1" customHeight="1" s="9">
      <c r="B185" s="52" t="n"/>
      <c r="C185" s="52" t="n"/>
      <c r="D185" s="69" t="n"/>
      <c r="E185" s="52" t="n"/>
      <c r="F185" s="52" t="n"/>
      <c r="G185" s="71" t="n"/>
      <c r="H185" s="55" t="n"/>
      <c r="I185" s="56" t="n"/>
      <c r="J185" s="57" t="n"/>
      <c r="K185" s="58" t="n"/>
      <c r="L185" s="56" t="n"/>
      <c r="M185" s="59" t="n"/>
      <c r="N185" s="60" t="n"/>
      <c r="O185" s="60" t="n"/>
      <c r="P185" s="61" t="n"/>
      <c r="Q185" s="52" t="n"/>
      <c r="R185" s="52" t="n"/>
      <c r="S185" s="52" t="n"/>
      <c r="T185" s="52">
        <f>VLOOKUP(S185,'[1]COUNTRY LIST2'!$B$2:$G$254,2,0)</f>
        <v/>
      </c>
      <c r="U185" s="52">
        <f>VLOOKUP(S185,'[1]COUNTRY LIST2'!$B$2:$G$254,3,0)</f>
        <v/>
      </c>
      <c r="V185" s="52">
        <f>VLOOKUP(S185,'[1]COUNTRY LIST2'!$B$2:$G$254,6,0)</f>
        <v/>
      </c>
      <c r="W185" s="52">
        <f>VLOOKUP(S185,'[1]COUNTRY LIST2'!$B$2:$G$254,5,0)</f>
        <v/>
      </c>
      <c r="X185" s="52" t="n"/>
      <c r="Y185" s="62" t="n"/>
      <c r="Z185" s="63">
        <f>VLOOKUP(Y185,[1]OTH!A:B,2,0)</f>
        <v/>
      </c>
      <c r="AB185" s="63">
        <f>VLOOKUP(Y185,[1]OTH!$A$1:$C$22,3,0)</f>
        <v/>
      </c>
      <c r="AF185" s="64">
        <f>G185*H185</f>
        <v/>
      </c>
      <c r="AI185" s="65" t="n"/>
      <c r="AJ185" s="66">
        <f>ROUND(I185,2)</f>
        <v/>
      </c>
      <c r="AK185" s="40" t="inlineStr">
        <is>
          <t>x</t>
        </is>
      </c>
      <c r="AL185" s="67" t="n"/>
      <c r="AM185" s="40" t="inlineStr">
        <is>
          <t>x</t>
        </is>
      </c>
      <c r="AN185" s="13" t="n">
        <v>0</v>
      </c>
      <c r="AO185" s="13" t="n">
        <v>0</v>
      </c>
      <c r="AP185" s="13">
        <f>AN185+AO185</f>
        <v/>
      </c>
      <c r="AQ185" s="13">
        <f>AP185*G185</f>
        <v/>
      </c>
    </row>
    <row r="186" ht="10.25" customFormat="1" customHeight="1" s="9">
      <c r="E186" s="9" t="inlineStr">
        <is>
          <t>TOTAL AMOUNT:</t>
        </is>
      </c>
      <c r="G186" s="72">
        <f>SUBTOTAL(9,G23:G185)</f>
        <v/>
      </c>
      <c r="K186" s="6">
        <f>SUM(K23:K185)</f>
        <v/>
      </c>
      <c r="L186" s="6">
        <f>SUM(L23:L185)</f>
        <v/>
      </c>
      <c r="M186" s="6">
        <f>SUM(M23:M185)</f>
        <v/>
      </c>
      <c r="N186" s="6">
        <f>SUM(N23:N185)</f>
        <v/>
      </c>
    </row>
    <row r="187" ht="10.25" customFormat="1" customHeight="1" s="9">
      <c r="E187" s="9" t="inlineStr">
        <is>
          <t>VAT (5%)</t>
        </is>
      </c>
      <c r="L187" s="6" t="n"/>
      <c r="O187" s="6">
        <f>SUM(O23:O185)</f>
        <v/>
      </c>
    </row>
    <row r="188" ht="10.25" customFormat="1" customHeight="1" s="9">
      <c r="E188" s="9" t="inlineStr">
        <is>
          <t>TOTAL MOUNT (Inclusive VAT 5%)</t>
        </is>
      </c>
      <c r="K188" s="73">
        <f>K186</f>
        <v/>
      </c>
      <c r="L188" s="73">
        <f>L186</f>
        <v/>
      </c>
      <c r="M188" s="6">
        <f>M186+O187</f>
        <v/>
      </c>
    </row>
    <row r="189" ht="10.25" customFormat="1" customHeight="1" s="9"/>
    <row r="190" ht="10.25" customFormat="1" customHeight="1" s="9"/>
    <row r="191" ht="10.25" customFormat="1" customHeight="1" s="9"/>
    <row r="192" ht="10.25" customFormat="1" customHeight="1" s="9"/>
    <row r="193" ht="10.25" customFormat="1" customHeight="1" s="9"/>
    <row r="194" ht="10.25" customFormat="1" customHeight="1" s="9"/>
    <row r="195" ht="10.25" customFormat="1" customHeight="1" s="9"/>
    <row r="196" ht="10.25" customFormat="1" customHeight="1" s="9"/>
    <row r="197" ht="10.25" customFormat="1" customHeight="1" s="9"/>
    <row r="198" ht="10.25" customFormat="1" customHeight="1" s="9"/>
    <row r="199" ht="10.25" customFormat="1" customHeight="1" s="9"/>
    <row r="200" ht="10.25" customFormat="1" customHeight="1" s="9"/>
    <row r="201" ht="10.25" customFormat="1" customHeight="1" s="9"/>
    <row r="202" ht="10.25" customFormat="1" customHeight="1" s="9"/>
    <row r="203" ht="10.25" customFormat="1" customHeight="1" s="9"/>
    <row r="204" ht="10.25" customFormat="1" customHeight="1" s="9"/>
    <row r="205" ht="10.25" customFormat="1" customHeight="1" s="9"/>
    <row r="206" ht="10.25" customFormat="1" customHeight="1" s="9"/>
    <row r="207" ht="10.25" customFormat="1" customHeight="1" s="9"/>
    <row r="208" ht="10.25" customFormat="1" customHeight="1" s="9"/>
    <row r="209" ht="10.25" customFormat="1" customHeight="1" s="9"/>
    <row r="210" ht="10.25" customFormat="1" customHeight="1" s="9"/>
    <row r="211" ht="10.25" customFormat="1" customHeight="1" s="9"/>
    <row r="212" ht="10.25" customFormat="1" customHeight="1" s="9"/>
    <row r="213" ht="10.25" customFormat="1" customHeight="1" s="9"/>
    <row r="214" ht="10.25" customFormat="1" customHeight="1" s="9"/>
    <row r="215" ht="10.25" customFormat="1" customHeight="1" s="9"/>
    <row r="216" ht="10.25" customFormat="1" customHeight="1" s="9"/>
    <row r="217" ht="10.25" customFormat="1" customHeight="1" s="9"/>
    <row r="218" ht="10.25" customFormat="1" customHeight="1" s="9"/>
    <row r="219" ht="10.25" customFormat="1" customHeight="1" s="9"/>
    <row r="220" ht="10.25" customFormat="1" customHeight="1" s="9"/>
    <row r="221" ht="10.25" customFormat="1" customHeight="1" s="9"/>
    <row r="222" ht="10.25" customFormat="1" customHeight="1" s="9"/>
    <row r="223" ht="10.25" customFormat="1" customHeight="1" s="9"/>
    <row r="224" ht="10.25" customFormat="1" customHeight="1" s="9"/>
    <row r="225" ht="10.25" customFormat="1" customHeight="1" s="9"/>
    <row r="226" ht="10.25" customFormat="1" customHeight="1" s="9"/>
    <row r="227" ht="10.25" customFormat="1" customHeight="1" s="9"/>
    <row r="228" ht="10.25" customFormat="1" customHeight="1" s="9"/>
    <row r="229" ht="10.25" customFormat="1" customHeight="1" s="9"/>
    <row r="230" ht="10.25" customFormat="1" customHeight="1" s="9"/>
    <row r="231" ht="10.25" customFormat="1" customHeight="1" s="9"/>
    <row r="232" ht="10.25" customFormat="1" customHeight="1" s="9"/>
    <row r="233" ht="10.25" customFormat="1" customHeight="1" s="9"/>
    <row r="234" ht="10.25" customFormat="1" customHeight="1" s="9"/>
    <row r="235" ht="10.25" customFormat="1" customHeight="1" s="9"/>
    <row r="236" ht="10.25" customFormat="1" customHeight="1" s="9"/>
    <row r="237" ht="10.25" customFormat="1" customHeight="1" s="9"/>
    <row r="238" ht="10.25" customFormat="1" customHeight="1" s="9"/>
    <row r="239" ht="10.25" customFormat="1" customHeight="1" s="9"/>
    <row r="240" ht="10.25" customFormat="1" customHeight="1" s="9"/>
    <row r="241" ht="10.25" customFormat="1" customHeight="1" s="9"/>
    <row r="242" ht="10.25" customFormat="1" customHeight="1" s="9"/>
    <row r="243" ht="10.25" customFormat="1" customHeight="1" s="9"/>
    <row r="244" ht="10.25" customFormat="1" customHeight="1" s="9"/>
    <row r="245" ht="10.25" customFormat="1" customHeight="1" s="9"/>
    <row r="246" ht="10.25" customFormat="1" customHeight="1" s="9"/>
    <row r="247" ht="10.25" customFormat="1" customHeight="1" s="9"/>
    <row r="248" ht="10.25" customFormat="1" customHeight="1" s="9"/>
    <row r="249" ht="10.25" customFormat="1" customHeight="1" s="9"/>
    <row r="250" ht="10.25" customFormat="1" customHeight="1" s="9"/>
    <row r="251" ht="10.25" customFormat="1" customHeight="1" s="9"/>
    <row r="252" ht="10.25" customFormat="1" customHeight="1" s="9"/>
    <row r="253" ht="10.25" customFormat="1" customHeight="1" s="9"/>
    <row r="254" ht="10.25" customFormat="1" customHeight="1" s="9"/>
    <row r="255" ht="10.25" customFormat="1" customHeight="1" s="9"/>
    <row r="256" ht="10.25" customFormat="1" customHeight="1" s="9"/>
    <row r="257" ht="10.25" customFormat="1" customHeight="1" s="9"/>
    <row r="258" ht="10.25" customFormat="1" customHeight="1" s="9"/>
    <row r="259" ht="10.25" customFormat="1" customHeight="1" s="9"/>
    <row r="260" ht="10.25" customFormat="1" customHeight="1" s="9"/>
    <row r="261" ht="10.25" customFormat="1" customHeight="1" s="9"/>
    <row r="262" ht="10.25" customFormat="1" customHeight="1" s="9"/>
    <row r="263" ht="10.25" customFormat="1" customHeight="1" s="9"/>
    <row r="264" ht="10.25" customFormat="1" customHeight="1" s="9"/>
    <row r="265" ht="10.25" customFormat="1" customHeight="1" s="9"/>
    <row r="266" ht="10.25" customFormat="1" customHeight="1" s="9"/>
    <row r="267" ht="10.25" customFormat="1" customHeight="1" s="9"/>
    <row r="268" ht="10.25" customFormat="1" customHeight="1" s="9"/>
    <row r="269" ht="10.25" customFormat="1" customHeight="1" s="9"/>
    <row r="270" ht="10.25" customFormat="1" customHeight="1" s="9"/>
    <row r="271" ht="10.25" customFormat="1" customHeight="1" s="9"/>
    <row r="272" ht="10.25" customFormat="1" customHeight="1" s="9"/>
    <row r="273" ht="10.25" customFormat="1" customHeight="1" s="9"/>
    <row r="274" ht="10.25" customFormat="1" customHeight="1" s="9"/>
    <row r="275" ht="10.25" customFormat="1" customHeight="1" s="9"/>
    <row r="276" ht="10.25" customFormat="1" customHeight="1" s="9"/>
    <row r="277" ht="10.25" customFormat="1" customHeight="1" s="9"/>
    <row r="278" ht="10.25" customFormat="1" customHeight="1" s="9"/>
    <row r="279" ht="10.25" customFormat="1" customHeight="1" s="9"/>
    <row r="280" ht="10.25" customFormat="1" customHeight="1" s="9"/>
    <row r="281" ht="10.25" customFormat="1" customHeight="1" s="9"/>
    <row r="282" ht="10.25" customFormat="1" customHeight="1" s="9"/>
    <row r="283" ht="10.25" customFormat="1" customHeight="1" s="9"/>
    <row r="284" ht="10.25" customFormat="1" customHeight="1" s="9"/>
    <row r="285" ht="10.25" customFormat="1" customHeight="1" s="9"/>
    <row r="286" ht="10.25" customFormat="1" customHeight="1" s="9"/>
    <row r="287" ht="10.25" customFormat="1" customHeight="1" s="9"/>
    <row r="288" ht="10.25" customFormat="1" customHeight="1" s="9"/>
    <row r="289" ht="10.25" customFormat="1" customHeight="1" s="9"/>
    <row r="290" ht="10.25" customFormat="1" customHeight="1" s="9"/>
    <row r="291" ht="10.25" customFormat="1" customHeight="1" s="9"/>
    <row r="292" ht="10.25" customFormat="1" customHeight="1" s="9"/>
    <row r="293" ht="10.25" customFormat="1" customHeight="1" s="9"/>
    <row r="294" ht="10.25" customFormat="1" customHeight="1" s="9"/>
    <row r="295" ht="10.25" customFormat="1" customHeight="1" s="9"/>
    <row r="296" ht="10.25" customFormat="1" customHeight="1" s="9"/>
    <row r="297" ht="10.25" customFormat="1" customHeight="1" s="9"/>
    <row r="298" ht="10.25" customFormat="1" customHeight="1" s="9"/>
    <row r="299" ht="10.25" customFormat="1" customHeight="1" s="9"/>
    <row r="300" ht="10.25" customFormat="1" customHeight="1" s="9"/>
    <row r="301" ht="10.25" customFormat="1" customHeight="1" s="9"/>
    <row r="302" ht="10.25" customFormat="1" customHeight="1" s="9"/>
    <row r="303" ht="10.25" customFormat="1" customHeight="1" s="9"/>
    <row r="304" ht="10.25" customFormat="1" customHeight="1" s="9"/>
    <row r="305" ht="10.25" customFormat="1" customHeight="1" s="9"/>
    <row r="306" ht="10.25" customFormat="1" customHeight="1" s="9"/>
    <row r="307" ht="10.25" customFormat="1" customHeight="1" s="9"/>
    <row r="308" ht="10.25" customFormat="1" customHeight="1" s="9"/>
    <row r="309" ht="10.25" customFormat="1" customHeight="1" s="9"/>
    <row r="310" ht="10.25" customFormat="1" customHeight="1" s="9"/>
    <row r="311" ht="10.25" customFormat="1" customHeight="1" s="9"/>
    <row r="312" ht="10.25" customFormat="1" customHeight="1" s="9"/>
    <row r="313" ht="10.25" customFormat="1" customHeight="1" s="9"/>
    <row r="314" ht="10.25" customFormat="1" customHeight="1" s="9"/>
    <row r="315" ht="10.25" customFormat="1" customHeight="1" s="9"/>
    <row r="316" ht="10.25" customFormat="1" customHeight="1" s="9"/>
    <row r="317" ht="10.25" customFormat="1" customHeight="1" s="9"/>
    <row r="318" ht="10.25" customFormat="1" customHeight="1" s="9"/>
    <row r="319" ht="10.25" customFormat="1" customHeight="1" s="9"/>
    <row r="320" ht="10.25" customFormat="1" customHeight="1" s="9"/>
    <row r="321" ht="10.25" customFormat="1" customHeight="1" s="9"/>
    <row r="322" ht="10.25" customFormat="1" customHeight="1" s="9"/>
    <row r="323" ht="10.25" customFormat="1" customHeight="1" s="9"/>
    <row r="324" ht="10.25" customFormat="1" customHeight="1" s="9"/>
    <row r="325" ht="10.25" customFormat="1" customHeight="1" s="9"/>
    <row r="326" ht="10.25" customFormat="1" customHeight="1" s="9"/>
    <row r="327" ht="10.25" customFormat="1" customHeight="1" s="9"/>
    <row r="328" ht="10.25" customFormat="1" customHeight="1" s="9"/>
    <row r="329" ht="10.25" customFormat="1" customHeight="1" s="9"/>
    <row r="330" ht="10.25" customFormat="1" customHeight="1" s="9"/>
    <row r="331" ht="10.25" customFormat="1" customHeight="1" s="9"/>
    <row r="332" ht="10.25" customFormat="1" customHeight="1" s="9"/>
    <row r="333" ht="10.25" customFormat="1" customHeight="1" s="9"/>
    <row r="334" ht="10.25" customFormat="1" customHeight="1" s="9"/>
    <row r="335" ht="10.25" customFormat="1" customHeight="1" s="9"/>
    <row r="336" ht="10.25" customFormat="1" customHeight="1" s="9"/>
    <row r="337" ht="10.25" customFormat="1" customHeight="1" s="9"/>
    <row r="338" ht="10.25" customFormat="1" customHeight="1" s="9"/>
    <row r="339" ht="10.25" customFormat="1" customHeight="1" s="9"/>
    <row r="340" ht="10.25" customFormat="1" customHeight="1" s="9"/>
    <row r="341" ht="10.25" customFormat="1" customHeight="1" s="9"/>
    <row r="342" ht="10.25" customFormat="1" customHeight="1" s="9"/>
    <row r="343" ht="10.25" customFormat="1" customHeight="1" s="9"/>
    <row r="344" ht="10.25" customFormat="1" customHeight="1" s="9"/>
    <row r="345" ht="10.25" customFormat="1" customHeight="1" s="9"/>
    <row r="346" ht="10.25" customFormat="1" customHeight="1" s="9"/>
    <row r="347" ht="10.25" customFormat="1" customHeight="1" s="9"/>
    <row r="348" ht="10.25" customFormat="1" customHeight="1" s="9"/>
    <row r="349" ht="10.25" customFormat="1" customHeight="1" s="9"/>
    <row r="350" ht="10.25" customFormat="1" customHeight="1" s="9"/>
    <row r="351" ht="10.25" customFormat="1" customHeight="1" s="9"/>
    <row r="352" ht="10.25" customFormat="1" customHeight="1" s="9"/>
    <row r="353" ht="10.25" customFormat="1" customHeight="1" s="9"/>
    <row r="354" ht="10.25" customFormat="1" customHeight="1" s="9"/>
    <row r="355" ht="10.25" customFormat="1" customHeight="1" s="9"/>
    <row r="356" ht="10.25" customFormat="1" customHeight="1" s="9"/>
    <row r="357" ht="10.25" customFormat="1" customHeight="1" s="9"/>
    <row r="358" ht="10.25" customFormat="1" customHeight="1" s="9"/>
    <row r="359" ht="10.25" customFormat="1" customHeight="1" s="9"/>
    <row r="360" ht="10.25" customFormat="1" customHeight="1" s="9"/>
    <row r="361" ht="10.25" customFormat="1" customHeight="1" s="9"/>
    <row r="362" ht="10.25" customFormat="1" customHeight="1" s="9"/>
    <row r="363" ht="10.25" customFormat="1" customHeight="1" s="9"/>
    <row r="364" ht="10.25" customFormat="1" customHeight="1" s="9"/>
    <row r="365" ht="10.25" customFormat="1" customHeight="1" s="9"/>
    <row r="366" ht="10.25" customFormat="1" customHeight="1" s="9"/>
    <row r="367" ht="10.25" customFormat="1" customHeight="1" s="9"/>
    <row r="368" ht="10.25" customFormat="1" customHeight="1" s="9"/>
    <row r="369" ht="10.25" customFormat="1" customHeight="1" s="9"/>
    <row r="370" ht="10.25" customFormat="1" customHeight="1" s="9"/>
    <row r="371" ht="10.25" customFormat="1" customHeight="1" s="9"/>
    <row r="372" ht="10.25" customFormat="1" customHeight="1" s="9"/>
    <row r="373" ht="10.25" customFormat="1" customHeight="1" s="9"/>
    <row r="374" ht="10.25" customFormat="1" customHeight="1" s="9"/>
    <row r="375" ht="10.25" customFormat="1" customHeight="1" s="9"/>
    <row r="376" ht="10.25" customFormat="1" customHeight="1" s="9"/>
    <row r="377" ht="10.25" customFormat="1" customHeight="1" s="9"/>
    <row r="378" ht="10.25" customFormat="1" customHeight="1" s="9"/>
    <row r="379" ht="10.25" customFormat="1" customHeight="1" s="9"/>
    <row r="380" ht="10.25" customFormat="1" customHeight="1" s="9"/>
    <row r="381" ht="10.25" customFormat="1" customHeight="1" s="9"/>
    <row r="382" ht="10.25" customFormat="1" customHeight="1" s="9"/>
    <row r="383" ht="10.25" customFormat="1" customHeight="1" s="9"/>
    <row r="384" ht="10.25" customFormat="1" customHeight="1" s="9"/>
    <row r="385" ht="10.25" customFormat="1" customHeight="1" s="9"/>
    <row r="386" ht="10.25" customFormat="1" customHeight="1" s="9"/>
    <row r="387" ht="10.25" customFormat="1" customHeight="1" s="9"/>
    <row r="388" ht="10.25" customFormat="1" customHeight="1" s="9"/>
    <row r="389" ht="10.25" customFormat="1" customHeight="1" s="9"/>
    <row r="390" ht="10.25" customFormat="1" customHeight="1" s="9"/>
    <row r="391" ht="10.25" customFormat="1" customHeight="1" s="9"/>
    <row r="392" ht="10.25" customFormat="1" customHeight="1" s="9"/>
    <row r="393" ht="10.25" customFormat="1" customHeight="1" s="9"/>
    <row r="394" ht="10.25" customFormat="1" customHeight="1" s="9"/>
    <row r="395" ht="10.25" customFormat="1" customHeight="1" s="9"/>
    <row r="396" ht="10.25" customFormat="1" customHeight="1" s="9"/>
    <row r="397" ht="10.25" customFormat="1" customHeight="1" s="9"/>
    <row r="398" ht="10.25" customFormat="1" customHeight="1" s="9"/>
    <row r="399" ht="10.25" customFormat="1" customHeight="1" s="9"/>
    <row r="400" ht="10.25" customFormat="1" customHeight="1" s="9"/>
    <row r="401" ht="10.25" customFormat="1" customHeight="1" s="9"/>
    <row r="402" ht="10.25" customFormat="1" customHeight="1" s="9"/>
    <row r="403" ht="10.25" customFormat="1" customHeight="1" s="9"/>
    <row r="404" ht="10.25" customFormat="1" customHeight="1" s="9"/>
    <row r="405" ht="10.25" customFormat="1" customHeight="1" s="9"/>
    <row r="406" ht="10.25" customFormat="1" customHeight="1" s="9"/>
    <row r="407" ht="10.25" customFormat="1" customHeight="1" s="9"/>
    <row r="408" ht="10.25" customFormat="1" customHeight="1" s="9"/>
    <row r="409" ht="10.25" customFormat="1" customHeight="1" s="9"/>
    <row r="410" ht="10.25" customFormat="1" customHeight="1" s="9"/>
    <row r="411" ht="10.25" customFormat="1" customHeight="1" s="9"/>
    <row r="412" ht="10.25" customFormat="1" customHeight="1" s="9"/>
    <row r="413" ht="10.25" customFormat="1" customHeight="1" s="9"/>
    <row r="414" ht="10.25" customFormat="1" customHeight="1" s="9"/>
    <row r="415" ht="10.25" customFormat="1" customHeight="1" s="9"/>
    <row r="416" ht="10.25" customFormat="1" customHeight="1" s="9"/>
    <row r="417" ht="10.25" customFormat="1" customHeight="1" s="9"/>
    <row r="418" ht="10.25" customFormat="1" customHeight="1" s="9"/>
    <row r="419" ht="10.25" customFormat="1" customHeight="1" s="9"/>
    <row r="420" ht="10.25" customFormat="1" customHeight="1" s="9"/>
    <row r="421" ht="10.25" customFormat="1" customHeight="1" s="9"/>
    <row r="422" ht="10.25" customFormat="1" customHeight="1" s="9"/>
    <row r="423" ht="10.25" customFormat="1" customHeight="1" s="9"/>
    <row r="424" ht="10.25" customFormat="1" customHeight="1" s="9"/>
    <row r="425" ht="10.25" customFormat="1" customHeight="1" s="9"/>
    <row r="426" ht="10.25" customFormat="1" customHeight="1" s="9"/>
    <row r="427" ht="10.25" customFormat="1" customHeight="1" s="9"/>
    <row r="428" ht="10.25" customFormat="1" customHeight="1" s="9"/>
    <row r="429" ht="10.25" customFormat="1" customHeight="1" s="9"/>
    <row r="430" ht="10.25" customFormat="1" customHeight="1" s="9"/>
    <row r="431" ht="10.25" customFormat="1" customHeight="1" s="9"/>
    <row r="432" ht="10.25" customFormat="1" customHeight="1" s="9"/>
    <row r="433" ht="10.25" customFormat="1" customHeight="1" s="9"/>
    <row r="434" ht="10.25" customFormat="1" customHeight="1" s="9"/>
    <row r="435" ht="10.25" customFormat="1" customHeight="1" s="9"/>
    <row r="436" ht="10.25" customFormat="1" customHeight="1" s="9"/>
    <row r="437" ht="10.25" customFormat="1" customHeight="1" s="9"/>
    <row r="438" ht="10.25" customFormat="1" customHeight="1" s="9"/>
    <row r="439" ht="10.25" customFormat="1" customHeight="1" s="9"/>
    <row r="440" ht="10.25" customFormat="1" customHeight="1" s="9"/>
    <row r="441" ht="10.25" customFormat="1" customHeight="1" s="9"/>
    <row r="442" ht="10.25" customFormat="1" customHeight="1" s="9"/>
    <row r="443" ht="10.25" customFormat="1" customHeight="1" s="9"/>
    <row r="444" ht="10.25" customFormat="1" customHeight="1" s="9"/>
    <row r="445" ht="10.25" customFormat="1" customHeight="1" s="9"/>
    <row r="446" ht="10.25" customFormat="1" customHeight="1" s="9"/>
    <row r="447" ht="10.25" customFormat="1" customHeight="1" s="9"/>
    <row r="448" ht="10.25" customFormat="1" customHeight="1" s="9"/>
    <row r="449" ht="10.25" customFormat="1" customHeight="1" s="9"/>
    <row r="450" ht="10.25" customFormat="1" customHeight="1" s="9"/>
    <row r="451" ht="10.25" customFormat="1" customHeight="1" s="9"/>
    <row r="452" ht="10.25" customFormat="1" customHeight="1" s="9"/>
    <row r="453" ht="10.25" customFormat="1" customHeight="1" s="9"/>
    <row r="454" ht="10.25" customFormat="1" customHeight="1" s="9"/>
    <row r="455" ht="10.25" customFormat="1" customHeight="1" s="9"/>
    <row r="456" ht="10.25" customFormat="1" customHeight="1" s="9"/>
    <row r="457" ht="10.25" customFormat="1" customHeight="1" s="9"/>
    <row r="458" ht="10.25" customFormat="1" customHeight="1" s="9"/>
    <row r="459" ht="10.25" customFormat="1" customHeight="1" s="9"/>
    <row r="460" ht="10.25" customFormat="1" customHeight="1" s="9"/>
    <row r="461" ht="10.25" customFormat="1" customHeight="1" s="9"/>
    <row r="462" ht="10.25" customFormat="1" customHeight="1" s="9"/>
    <row r="463" ht="10.25" customFormat="1" customHeight="1" s="9"/>
    <row r="464" ht="10.25" customFormat="1" customHeight="1" s="9"/>
    <row r="465" ht="10.25" customFormat="1" customHeight="1" s="9"/>
    <row r="466" ht="10.25" customFormat="1" customHeight="1" s="9"/>
    <row r="467" ht="10.25" customFormat="1" customHeight="1" s="9"/>
    <row r="468" ht="10.25" customFormat="1" customHeight="1" s="9"/>
    <row r="469" ht="10.25" customFormat="1" customHeight="1" s="9"/>
    <row r="470" ht="10.25" customFormat="1" customHeight="1" s="9"/>
    <row r="471" ht="10.25" customFormat="1" customHeight="1" s="9"/>
    <row r="472" ht="10.25" customFormat="1" customHeight="1" s="9"/>
    <row r="473" ht="10.25" customFormat="1" customHeight="1" s="9"/>
    <row r="474" ht="10.25" customFormat="1" customHeight="1" s="9"/>
    <row r="475" ht="10.25" customFormat="1" customHeight="1" s="9"/>
    <row r="476" ht="10.25" customFormat="1" customHeight="1" s="9"/>
    <row r="477" ht="10.25" customFormat="1" customHeight="1" s="9"/>
    <row r="478" ht="10.25" customFormat="1" customHeight="1" s="9"/>
    <row r="479" ht="10.25" customFormat="1" customHeight="1" s="9"/>
    <row r="480" ht="10.25" customFormat="1" customHeight="1" s="9"/>
    <row r="481" ht="10.25" customFormat="1" customHeight="1" s="9"/>
    <row r="482" ht="10.25" customFormat="1" customHeight="1" s="9"/>
    <row r="483" ht="10.25" customFormat="1" customHeight="1" s="9"/>
    <row r="484" ht="10.25" customFormat="1" customHeight="1" s="9"/>
    <row r="485" ht="10.25" customFormat="1" customHeight="1" s="9"/>
    <row r="486" ht="10.25" customFormat="1" customHeight="1" s="9"/>
    <row r="487" ht="10.25" customFormat="1" customHeight="1" s="9"/>
    <row r="488" ht="10.25" customFormat="1" customHeight="1" s="9"/>
    <row r="489" ht="10.25" customFormat="1" customHeight="1" s="9"/>
    <row r="490" ht="10.25" customFormat="1" customHeight="1" s="9"/>
    <row r="491" ht="10.25" customFormat="1" customHeight="1" s="9"/>
    <row r="492" ht="10.25" customFormat="1" customHeight="1" s="9"/>
    <row r="493" ht="10.25" customFormat="1" customHeight="1" s="9"/>
    <row r="494" ht="10.25" customFormat="1" customHeight="1" s="9"/>
    <row r="495" ht="10.25" customFormat="1" customHeight="1" s="9"/>
    <row r="496" ht="10.25" customFormat="1" customHeight="1" s="9"/>
    <row r="497" ht="10.25" customFormat="1" customHeight="1" s="9"/>
    <row r="498" ht="10.25" customFormat="1" customHeight="1" s="9"/>
    <row r="499" ht="10.25" customFormat="1" customHeight="1" s="9"/>
    <row r="500" ht="10.25" customFormat="1" customHeight="1" s="9"/>
    <row r="501" ht="10.25" customFormat="1" customHeight="1" s="9"/>
    <row r="502" ht="10.25" customFormat="1" customHeight="1" s="9"/>
    <row r="503" ht="10.25" customFormat="1" customHeight="1" s="9"/>
    <row r="504" ht="10.25" customFormat="1" customHeight="1" s="9"/>
    <row r="505" ht="10.25" customFormat="1" customHeight="1" s="9"/>
    <row r="506" ht="10.25" customFormat="1" customHeight="1" s="9"/>
    <row r="507" ht="10.25" customFormat="1" customHeight="1" s="9"/>
    <row r="508" ht="10.25" customFormat="1" customHeight="1" s="9"/>
    <row r="509" ht="10.25" customFormat="1" customHeight="1" s="9"/>
    <row r="510" ht="10.25" customFormat="1" customHeight="1" s="9"/>
    <row r="511" ht="10.25" customFormat="1" customHeight="1" s="9"/>
    <row r="512" ht="10.25" customFormat="1" customHeight="1" s="9"/>
    <row r="513" ht="10.25" customFormat="1" customHeight="1" s="9"/>
    <row r="514" ht="10.25" customFormat="1" customHeight="1" s="9"/>
    <row r="515" ht="10.25" customFormat="1" customHeight="1" s="9"/>
    <row r="516" ht="10.25" customFormat="1" customHeight="1" s="9"/>
    <row r="517" ht="10.25" customFormat="1" customHeight="1" s="9"/>
    <row r="518" ht="10.25" customFormat="1" customHeight="1" s="9"/>
    <row r="519" ht="10.25" customFormat="1" customHeight="1" s="9"/>
    <row r="520" ht="10.25" customFormat="1" customHeight="1" s="9"/>
    <row r="521" ht="10.25" customFormat="1" customHeight="1" s="9"/>
    <row r="522" ht="10.25" customFormat="1" customHeight="1" s="9"/>
    <row r="523" ht="10.25" customFormat="1" customHeight="1" s="9"/>
    <row r="524" ht="10.25" customFormat="1" customHeight="1" s="9"/>
    <row r="525" ht="10.25" customFormat="1" customHeight="1" s="9"/>
    <row r="526" ht="10.25" customFormat="1" customHeight="1" s="9"/>
    <row r="527" ht="10.25" customFormat="1" customHeight="1" s="9"/>
    <row r="528" ht="10.25" customFormat="1" customHeight="1" s="9"/>
    <row r="529" ht="10.25" customFormat="1" customHeight="1" s="9"/>
    <row r="530" ht="10.25" customFormat="1" customHeight="1" s="9"/>
    <row r="531" ht="10.25" customFormat="1" customHeight="1" s="9"/>
    <row r="532" ht="10.25" customFormat="1" customHeight="1" s="9"/>
    <row r="533" ht="10.25" customFormat="1" customHeight="1" s="9"/>
    <row r="534" ht="10.25" customFormat="1" customHeight="1" s="9"/>
    <row r="535" ht="10.25" customFormat="1" customHeight="1" s="9"/>
    <row r="536" ht="10.25" customFormat="1" customHeight="1" s="9"/>
    <row r="537" ht="10.25" customFormat="1" customHeight="1" s="9"/>
    <row r="538" ht="10.25" customFormat="1" customHeight="1" s="9"/>
    <row r="539" ht="10.25" customFormat="1" customHeight="1" s="9"/>
    <row r="540" ht="10.25" customFormat="1" customHeight="1" s="9"/>
    <row r="541" ht="10.25" customFormat="1" customHeight="1" s="9"/>
    <row r="542" ht="10.25" customFormat="1" customHeight="1" s="9"/>
    <row r="543" ht="10.25" customFormat="1" customHeight="1" s="9"/>
    <row r="544" ht="10.25" customFormat="1" customHeight="1" s="9"/>
    <row r="545" ht="10.25" customFormat="1" customHeight="1" s="9"/>
    <row r="546" ht="10.25" customFormat="1" customHeight="1" s="9"/>
    <row r="547" ht="10.25" customFormat="1" customHeight="1" s="9"/>
    <row r="548" ht="10.25" customFormat="1" customHeight="1" s="9"/>
    <row r="549" ht="10.25" customFormat="1" customHeight="1" s="9"/>
    <row r="550" ht="10.25" customFormat="1" customHeight="1" s="9"/>
    <row r="551" ht="10.25" customFormat="1" customHeight="1" s="9"/>
    <row r="552" ht="10.25" customFormat="1" customHeight="1" s="9"/>
    <row r="553" ht="10.25" customFormat="1" customHeight="1" s="9"/>
    <row r="554" ht="10.25" customFormat="1" customHeight="1" s="9"/>
    <row r="555" ht="10.25" customFormat="1" customHeight="1" s="9"/>
    <row r="556" ht="10.25" customFormat="1" customHeight="1" s="9"/>
    <row r="557" ht="10.25" customFormat="1" customHeight="1" s="9"/>
    <row r="558" ht="10.25" customFormat="1" customHeight="1" s="9"/>
    <row r="559" ht="10.25" customFormat="1" customHeight="1" s="9"/>
    <row r="560" ht="10.25" customFormat="1" customHeight="1" s="9"/>
    <row r="561" ht="10.25" customFormat="1" customHeight="1" s="9"/>
    <row r="562" ht="10.25" customFormat="1" customHeight="1" s="9"/>
    <row r="563" ht="10.25" customFormat="1" customHeight="1" s="9"/>
    <row r="564" ht="10.25" customFormat="1" customHeight="1" s="9"/>
    <row r="565" ht="10.25" customFormat="1" customHeight="1" s="9"/>
    <row r="566" ht="10.25" customFormat="1" customHeight="1" s="9"/>
    <row r="567" ht="10.25" customFormat="1" customHeight="1" s="9"/>
    <row r="568" ht="10.25" customFormat="1" customHeight="1" s="9"/>
    <row r="569" ht="10.25" customFormat="1" customHeight="1" s="9"/>
    <row r="570" ht="10.25" customFormat="1" customHeight="1" s="9"/>
    <row r="571" ht="10.25" customFormat="1" customHeight="1" s="9"/>
    <row r="572" ht="10.25" customFormat="1" customHeight="1" s="9"/>
    <row r="573" ht="10.25" customFormat="1" customHeight="1" s="9"/>
    <row r="574" ht="10.25" customFormat="1" customHeight="1" s="9"/>
    <row r="578" ht="10.25" customHeight="1"/>
    <row r="579" ht="10.25" customHeight="1"/>
    <row r="580" ht="10.25" customHeight="1"/>
    <row r="1028248" ht="10.5" customHeight="1"/>
    <row r="1028249" ht="10.5" customHeight="1"/>
    <row r="1028250" ht="10.5" customHeight="1"/>
    <row r="1028251" ht="10.5" customHeight="1"/>
    <row r="1028252" ht="10.5" customHeight="1"/>
    <row r="1028253" ht="10.5" customHeight="1"/>
    <row r="1028254" ht="10.5" customHeight="1"/>
    <row r="1028255" ht="10.5" customHeight="1"/>
    <row r="1028256" ht="10.5" customHeight="1"/>
    <row r="1028257" ht="10.5" customHeight="1"/>
    <row r="1028258" ht="10.5" customHeight="1"/>
    <row r="1028259" ht="10.5" customHeight="1"/>
    <row r="1028260" ht="10.5" customHeight="1"/>
    <row r="1028261" ht="10.5" customHeight="1"/>
    <row r="1028262" ht="10.5" customHeight="1"/>
    <row r="1028263" ht="10.5" customHeight="1"/>
    <row r="1028264" ht="10.5" customHeight="1"/>
    <row r="1028265" ht="10.5" customHeight="1"/>
    <row r="1028266" ht="10.5" customHeight="1"/>
    <row r="1028267" ht="10.5" customHeight="1"/>
    <row r="1028268" ht="10.5" customHeight="1"/>
    <row r="1028269" ht="10.5" customHeight="1"/>
    <row r="1028270" ht="10.5" customHeight="1"/>
    <row r="1028271" ht="10.5" customHeight="1"/>
    <row r="1028272" ht="10.5" customHeight="1"/>
    <row r="1028273" ht="10.5" customHeight="1"/>
    <row r="1028274" ht="10.5" customHeight="1"/>
    <row r="1028275" ht="10.5" customHeight="1"/>
    <row r="1028276" ht="10.5" customHeight="1"/>
    <row r="1028277" ht="10.5" customHeight="1"/>
    <row r="1028278" ht="10.5" customHeight="1"/>
    <row r="1028279" ht="10.5" customHeight="1"/>
    <row r="1028280" ht="10.5" customHeight="1"/>
    <row r="1028281" ht="10.5" customHeight="1"/>
    <row r="1028282" ht="10.5" customHeight="1"/>
    <row r="1028283" ht="10.5" customHeight="1"/>
    <row r="1028284" ht="10.5" customHeight="1"/>
    <row r="1028285" ht="10.5" customHeight="1"/>
    <row r="1028286" ht="10.5" customHeight="1"/>
    <row r="1028287" ht="10.5" customHeight="1"/>
    <row r="1028288" ht="10.5" customHeight="1"/>
    <row r="1028289" ht="10.5" customHeight="1"/>
    <row r="1028290" ht="10.5" customHeight="1"/>
    <row r="1028291" ht="10.5" customHeight="1"/>
    <row r="1028292" ht="10.5" customHeight="1"/>
    <row r="1028293" ht="10.5" customHeight="1"/>
    <row r="1028294" ht="10.5" customHeight="1"/>
    <row r="1028295" ht="10.5" customHeight="1"/>
    <row r="1028296" ht="10.5" customHeight="1"/>
    <row r="1028297" ht="10.5" customHeight="1"/>
    <row r="1028298" ht="10.5" customHeight="1"/>
    <row r="1028299" ht="10.5" customHeight="1"/>
    <row r="1028300" ht="10.5" customHeight="1"/>
    <row r="1028301" ht="10.5" customHeight="1"/>
    <row r="1028302" ht="10.5" customHeight="1"/>
    <row r="1028303" ht="10.5" customHeight="1"/>
    <row r="1028304" ht="10.5" customHeight="1"/>
    <row r="1028305" ht="10.5" customHeight="1"/>
    <row r="1028306" ht="10.5" customHeight="1"/>
    <row r="1028307" ht="10.5" customHeight="1"/>
    <row r="1028308" ht="10.5" customHeight="1"/>
    <row r="1028309" ht="10.5" customHeight="1"/>
    <row r="1028310" ht="10.5" customHeight="1"/>
    <row r="1028311" ht="10.5" customHeight="1"/>
    <row r="1028312" ht="10.5" customHeight="1"/>
    <row r="1028313" ht="10.5" customHeight="1"/>
    <row r="1028314" ht="10.5" customHeight="1"/>
    <row r="1028315" ht="10.5" customHeight="1"/>
    <row r="1028316" ht="10.5" customHeight="1"/>
    <row r="1028317" ht="10.5" customHeight="1"/>
    <row r="1028318" ht="10.5" customHeight="1"/>
    <row r="1028319" ht="10.5" customHeight="1"/>
    <row r="1028320" ht="10.5" customHeight="1"/>
    <row r="1028321" ht="10.5" customHeight="1"/>
    <row r="1028322" ht="10.5" customHeight="1"/>
    <row r="1028323" ht="10.5" customHeight="1"/>
    <row r="1028324" ht="10.5" customHeight="1"/>
    <row r="1028325" ht="10.5" customHeight="1"/>
    <row r="1028326" ht="10.5" customHeight="1"/>
    <row r="1028327" ht="10.5" customHeight="1"/>
    <row r="1028328" ht="10.5" customHeight="1"/>
    <row r="1028329" ht="10.5" customHeight="1"/>
    <row r="1028330" ht="10.5" customHeight="1"/>
    <row r="1028331" ht="10.5" customHeight="1"/>
    <row r="1028332" ht="10.5" customHeight="1"/>
    <row r="1028333" ht="10.5" customHeight="1"/>
    <row r="1028334" ht="10.5" customHeight="1"/>
    <row r="1028335" ht="10.5" customHeight="1"/>
    <row r="1028336" ht="10.5" customHeight="1"/>
    <row r="1028337" ht="10.5" customHeight="1"/>
    <row r="1028338" ht="10.5" customHeight="1"/>
    <row r="1028339" ht="10.5" customHeight="1"/>
    <row r="1028340" ht="10.5" customHeight="1"/>
    <row r="1028341" ht="10.5" customHeight="1"/>
    <row r="1028342" ht="10.5" customHeight="1"/>
    <row r="1028343" ht="10.5" customHeight="1"/>
    <row r="1028344" ht="10.5" customHeight="1"/>
    <row r="1028345" ht="10.5" customHeight="1"/>
    <row r="1028346" ht="10.5" customHeight="1"/>
    <row r="1028347" ht="10.5" customHeight="1"/>
    <row r="1028348" ht="10.5" customHeight="1"/>
    <row r="1028349" ht="10.5" customHeight="1"/>
    <row r="1028350" ht="10.5" customHeight="1"/>
    <row r="1028351" ht="10.5" customHeight="1"/>
    <row r="1028352" ht="10.5" customHeight="1"/>
    <row r="1028353" ht="10.5" customHeight="1"/>
    <row r="1028354" ht="10.5" customHeight="1"/>
    <row r="1028355" ht="10.5" customHeight="1"/>
    <row r="1028356" ht="10.5" customHeight="1"/>
    <row r="1028357" ht="10.5" customHeight="1"/>
    <row r="1028358" ht="10.5" customHeight="1"/>
    <row r="1028359" ht="10.5" customHeight="1"/>
    <row r="1028360" ht="10.5" customHeight="1"/>
    <row r="1028361" ht="10.5" customHeight="1"/>
    <row r="1028362" ht="10.5" customHeight="1"/>
    <row r="1028363" ht="10.5" customHeight="1"/>
    <row r="1028364" ht="10.5" customHeight="1"/>
    <row r="1028365" ht="10.5" customHeight="1"/>
    <row r="1028366" ht="10.5" customHeight="1"/>
    <row r="1028367" ht="10.5" customHeight="1"/>
    <row r="1028368" ht="10.5" customHeight="1"/>
    <row r="1028369" ht="10.5" customHeight="1"/>
    <row r="1028370" ht="10.5" customHeight="1"/>
    <row r="1028371" ht="10.5" customHeight="1"/>
    <row r="1028372" ht="10.5" customHeight="1"/>
    <row r="1028373" ht="10.5" customHeight="1"/>
    <row r="1028374" ht="10.5" customHeight="1"/>
    <row r="1028375" ht="10.5" customHeight="1"/>
    <row r="1028376" ht="10.5" customHeight="1"/>
    <row r="1028377" ht="10.5" customHeight="1"/>
    <row r="1028378" ht="10.5" customHeight="1"/>
    <row r="1028379" ht="10.5" customHeight="1"/>
    <row r="1028380" ht="10.5" customHeight="1"/>
    <row r="1028381" ht="10.5" customHeight="1"/>
    <row r="1028382" ht="10.5" customHeight="1"/>
    <row r="1028383" ht="10.5" customHeight="1"/>
    <row r="1028384" ht="10.5" customHeight="1"/>
    <row r="1028385" ht="10.5" customHeight="1"/>
    <row r="1028386" ht="10.5" customHeight="1"/>
    <row r="1028387" ht="10.5" customHeight="1"/>
    <row r="1028388" ht="10.5" customHeight="1"/>
    <row r="1028389" ht="10.5" customHeight="1"/>
    <row r="1028390" ht="10.5" customHeight="1"/>
    <row r="1028391" ht="10.5" customHeight="1"/>
    <row r="1028392" ht="10.5" customHeight="1"/>
    <row r="1028393" ht="10.5" customHeight="1"/>
    <row r="1028394" ht="10.5" customHeight="1"/>
    <row r="1028395" ht="10.5" customHeight="1"/>
    <row r="1028396" ht="10.5" customHeight="1"/>
    <row r="1028397" ht="10.5" customHeight="1"/>
    <row r="1028398" ht="10.5" customHeight="1"/>
    <row r="1028399" ht="10.5" customHeight="1"/>
    <row r="1028400" ht="10.5" customHeight="1"/>
    <row r="1028401" ht="10.5" customHeight="1"/>
    <row r="1028402" ht="10.5" customHeight="1"/>
    <row r="1028403" ht="10.5" customHeight="1"/>
    <row r="1028404" ht="10.5" customHeight="1"/>
    <row r="1028405" ht="10.5" customHeight="1"/>
    <row r="1028406" ht="10.5" customHeight="1"/>
    <row r="1028407" ht="10.5" customHeight="1"/>
    <row r="1028408" ht="10.5" customHeight="1"/>
    <row r="1028409" ht="10.5" customHeight="1"/>
    <row r="1028410" ht="10.5" customHeight="1"/>
    <row r="1028411" ht="10.5" customHeight="1"/>
    <row r="1028412" ht="10.5" customHeight="1"/>
    <row r="1028413" ht="10.5" customHeight="1"/>
    <row r="1028414" ht="10.5" customHeight="1"/>
    <row r="1028415" ht="10.5" customHeight="1"/>
    <row r="1028416" ht="10.5" customHeight="1"/>
    <row r="1028417" ht="10.5" customHeight="1"/>
    <row r="1028418" ht="10.5" customHeight="1"/>
    <row r="1028419" ht="10.5" customHeight="1"/>
    <row r="1028420" ht="10.5" customHeight="1"/>
    <row r="1028421" ht="10.5" customHeight="1"/>
    <row r="1028422" ht="10.5" customHeight="1"/>
    <row r="1028423" ht="10.5" customHeight="1"/>
    <row r="1028424" ht="10.5" customHeight="1"/>
    <row r="1028425" ht="10.5" customHeight="1"/>
    <row r="1028426" ht="10.5" customHeight="1"/>
    <row r="1028427" ht="10.5" customHeight="1"/>
    <row r="1028428" ht="10.5" customHeight="1"/>
    <row r="1028429" ht="10.5" customHeight="1"/>
    <row r="1028430" ht="10.5" customHeight="1"/>
    <row r="1028431" ht="10.5" customHeight="1"/>
    <row r="1028432" ht="10.5" customHeight="1"/>
    <row r="1028433" ht="10.5" customHeight="1"/>
    <row r="1028434" ht="10.5" customHeight="1"/>
    <row r="1028435" ht="10.5" customHeight="1"/>
    <row r="1028436" ht="10.5" customHeight="1"/>
    <row r="1028437" ht="10.5" customHeight="1"/>
    <row r="1028438" ht="10.5" customHeight="1"/>
    <row r="1028439" ht="10.5" customHeight="1"/>
    <row r="1028440" ht="10.5" customHeight="1"/>
    <row r="1028441" ht="10.5" customHeight="1"/>
    <row r="1028442" ht="10.5" customHeight="1"/>
    <row r="1028443" ht="10.5" customHeight="1"/>
    <row r="1028444" ht="10.5" customHeight="1"/>
    <row r="1028445" ht="10.5" customHeight="1"/>
    <row r="1028446" ht="10.5" customHeight="1"/>
    <row r="1028447" ht="10.5" customHeight="1"/>
    <row r="1028448" ht="10.5" customHeight="1"/>
    <row r="1028449" ht="10.5" customHeight="1"/>
    <row r="1028450" ht="10.5" customHeight="1"/>
    <row r="1028451" ht="10.5" customHeight="1"/>
    <row r="1028452" ht="10.5" customHeight="1"/>
    <row r="1028453" ht="10.5" customHeight="1"/>
    <row r="1028454" ht="10.5" customHeight="1"/>
    <row r="1028455" ht="10.5" customHeight="1"/>
    <row r="1028456" ht="10.5" customHeight="1"/>
    <row r="1028457" ht="10.5" customHeight="1"/>
    <row r="1028458" ht="10.5" customHeight="1"/>
    <row r="1028459" ht="10.5" customHeight="1"/>
    <row r="1028460" ht="10.5" customHeight="1"/>
    <row r="1028461" ht="10.5" customHeight="1"/>
    <row r="1028462" ht="10.5" customHeight="1"/>
    <row r="1028463" ht="10.5" customHeight="1"/>
    <row r="1028464" ht="10.5" customHeight="1"/>
    <row r="1028465" ht="10.5" customHeight="1"/>
    <row r="1028466" ht="10.5" customHeight="1"/>
    <row r="1028467" ht="10.5" customHeight="1"/>
    <row r="1028468" ht="10.5" customHeight="1"/>
    <row r="1028469" ht="10.5" customHeight="1"/>
    <row r="1028470" ht="10.5" customHeight="1"/>
    <row r="1028471" ht="10.5" customHeight="1"/>
    <row r="1028472" ht="10.5" customHeight="1"/>
    <row r="1028473" ht="10.5" customHeight="1"/>
    <row r="1028474" ht="10.5" customHeight="1"/>
    <row r="1028475" ht="10.5" customHeight="1"/>
    <row r="1028476" ht="10.5" customHeight="1"/>
    <row r="1028477" ht="10.5" customHeight="1"/>
    <row r="1028478" ht="10.5" customHeight="1"/>
    <row r="1028479" ht="10.5" customHeight="1"/>
    <row r="1028480" ht="10.5" customHeight="1"/>
    <row r="1028481" ht="10.5" customHeight="1"/>
    <row r="1028482" ht="10.5" customHeight="1"/>
    <row r="1028483" ht="10.5" customHeight="1"/>
    <row r="1028484" ht="10.5" customHeight="1"/>
    <row r="1028485" ht="10.5" customHeight="1"/>
    <row r="1028486" ht="10.5" customHeight="1"/>
    <row r="1028487" ht="10.5" customHeight="1"/>
    <row r="1028488" ht="10.5" customHeight="1"/>
    <row r="1028489" ht="10.5" customHeight="1"/>
    <row r="1028490" ht="10.5" customHeight="1"/>
    <row r="1028491" ht="10.5" customHeight="1"/>
    <row r="1028492" ht="10.5" customHeight="1"/>
    <row r="1028493" ht="10.5" customHeight="1"/>
    <row r="1028494" ht="10.5" customHeight="1"/>
    <row r="1028495" ht="10.5" customHeight="1"/>
    <row r="1028496" ht="10.5" customHeight="1"/>
    <row r="1028497" ht="10.5" customHeight="1"/>
    <row r="1028498" ht="10.5" customHeight="1"/>
    <row r="1028499" ht="10.5" customHeight="1"/>
    <row r="1028500" ht="10.5" customHeight="1"/>
    <row r="1028501" ht="10.5" customHeight="1"/>
    <row r="1028502" ht="10.5" customHeight="1"/>
    <row r="1028503" ht="10.5" customHeight="1"/>
    <row r="1028504" ht="10.5" customHeight="1"/>
    <row r="1028505" ht="10.5" customHeight="1"/>
    <row r="1028506" ht="10.5" customHeight="1"/>
    <row r="1028507" ht="10.5" customHeight="1"/>
    <row r="1028508" ht="10.5" customHeight="1"/>
    <row r="1028509" ht="10.5" customHeight="1"/>
    <row r="1028510" ht="10.5" customHeight="1"/>
    <row r="1028511" ht="10.5" customHeight="1"/>
    <row r="1028512" ht="10.5" customHeight="1"/>
    <row r="1028513" ht="10.5" customHeight="1"/>
    <row r="1028514" ht="10.5" customHeight="1"/>
    <row r="1028515" ht="10.5" customHeight="1"/>
    <row r="1028516" ht="10.5" customHeight="1"/>
    <row r="1028517" ht="10.5" customHeight="1"/>
    <row r="1028518" ht="10.5" customHeight="1"/>
    <row r="1028519" ht="10.5" customHeight="1"/>
    <row r="1028520" ht="10.5" customHeight="1"/>
    <row r="1028521" ht="10.5" customHeight="1"/>
    <row r="1028522" ht="10.5" customHeight="1"/>
    <row r="1028523" ht="10.5" customHeight="1"/>
    <row r="1028524" ht="10.5" customHeight="1"/>
    <row r="1028525" ht="10.5" customHeight="1"/>
    <row r="1028526" ht="10.5" customHeight="1"/>
    <row r="1028527" ht="10.5" customHeight="1"/>
    <row r="1028528" ht="10.5" customHeight="1"/>
    <row r="1028529" ht="10.5" customHeight="1"/>
    <row r="1028530" ht="10.5" customHeight="1"/>
    <row r="1028531" ht="10.5" customHeight="1"/>
    <row r="1028532" ht="10.5" customHeight="1"/>
    <row r="1028533" ht="10.5" customHeight="1"/>
    <row r="1028534" ht="10.5" customHeight="1"/>
    <row r="1028535" ht="10.5" customHeight="1"/>
    <row r="1028536" ht="10.5" customHeight="1"/>
    <row r="1028537" ht="10.5" customHeight="1"/>
    <row r="1028538" ht="10.5" customHeight="1"/>
    <row r="1028539" ht="10.5" customHeight="1"/>
    <row r="1028540" ht="10.5" customHeight="1"/>
    <row r="1028541" ht="10.5" customHeight="1"/>
    <row r="1028542" ht="10.5" customHeight="1"/>
    <row r="1028543" ht="10.5" customHeight="1"/>
    <row r="1028544" ht="10.5" customHeight="1"/>
    <row r="1028545" ht="10.5" customHeight="1"/>
    <row r="1028546" ht="10.5" customHeight="1"/>
    <row r="1028547" ht="10.5" customHeight="1"/>
    <row r="1028548" ht="10.5" customHeight="1"/>
    <row r="1028549" ht="10.5" customHeight="1"/>
    <row r="1028550" ht="10.5" customHeight="1"/>
    <row r="1028551" ht="10.5" customHeight="1"/>
    <row r="1028552" ht="10.5" customHeight="1"/>
    <row r="1028553" ht="10.5" customHeight="1"/>
    <row r="1028554" ht="10.5" customHeight="1"/>
    <row r="1028555" ht="10.5" customHeight="1"/>
    <row r="1028556" ht="10.5" customHeight="1"/>
    <row r="1028557" ht="10.5" customHeight="1"/>
    <row r="1028558" ht="10.5" customHeight="1"/>
    <row r="1028559" ht="10.5" customHeight="1"/>
    <row r="1028560" ht="10.5" customHeight="1"/>
    <row r="1028561" ht="10.5" customHeight="1"/>
    <row r="1028562" ht="10.5" customHeight="1"/>
    <row r="1028563" ht="10.5" customHeight="1"/>
    <row r="1028564" ht="10.5" customHeight="1"/>
    <row r="1028565" ht="10.5" customHeight="1"/>
    <row r="1028566" ht="10.5" customHeight="1"/>
    <row r="1028567" ht="10.5" customHeight="1"/>
    <row r="1028568" ht="10.5" customHeight="1"/>
    <row r="1028569" ht="10.5" customHeight="1"/>
    <row r="1028570" ht="10.5" customHeight="1"/>
    <row r="1028571" ht="10.5" customHeight="1"/>
    <row r="1028572" ht="10.5" customHeight="1"/>
    <row r="1028573" ht="10.5" customHeight="1"/>
    <row r="1028574" ht="10.5" customHeight="1"/>
    <row r="1028575" ht="10.5" customHeight="1"/>
    <row r="1028576" ht="10.5" customHeight="1"/>
    <row r="1028577" ht="10.5" customHeight="1"/>
    <row r="1028578" ht="10.5" customHeight="1"/>
    <row r="1028579" ht="10.5" customHeight="1"/>
    <row r="1028580" ht="10.5" customHeight="1"/>
    <row r="1028581" ht="10.5" customHeight="1"/>
    <row r="1028582" ht="10.5" customHeight="1"/>
    <row r="1028583" ht="10.5" customHeight="1"/>
    <row r="1028584" ht="10.5" customHeight="1"/>
    <row r="1028585" ht="10.5" customHeight="1"/>
    <row r="1028586" ht="10.5" customHeight="1"/>
    <row r="1028587" ht="10.5" customHeight="1"/>
    <row r="1028588" ht="10.5" customHeight="1"/>
    <row r="1028589" ht="10.5" customHeight="1"/>
    <row r="1028590" ht="10.5" customHeight="1"/>
    <row r="1028591" ht="10.5" customHeight="1"/>
    <row r="1028592" ht="10.5" customHeight="1"/>
    <row r="1028593" ht="10.5" customHeight="1"/>
    <row r="1028594" ht="10.5" customHeight="1"/>
    <row r="1028595" ht="10.5" customHeight="1"/>
    <row r="1028596" ht="10.5" customHeight="1"/>
    <row r="1028597" ht="10.5" customHeight="1"/>
    <row r="1028598" ht="10.5" customHeight="1"/>
    <row r="1028599" ht="10.5" customHeight="1"/>
    <row r="1028600" ht="10.5" customHeight="1"/>
    <row r="1028601" ht="10.5" customHeight="1"/>
    <row r="1028602" ht="10.5" customHeight="1"/>
    <row r="1028603" ht="10.5" customHeight="1"/>
    <row r="1028604" ht="10.5" customHeight="1"/>
    <row r="1028605" ht="10.5" customHeight="1"/>
    <row r="1028606" ht="10.5" customHeight="1"/>
    <row r="1028607" ht="10.5" customHeight="1"/>
    <row r="1028608" ht="10.5" customHeight="1"/>
    <row r="1028609" ht="10.5" customHeight="1"/>
    <row r="1028610" ht="10.5" customHeight="1"/>
    <row r="1028611" ht="10.5" customHeight="1"/>
    <row r="1028612" ht="10.5" customHeight="1"/>
    <row r="1028613" ht="10.5" customHeight="1"/>
    <row r="1028614" ht="10.5" customHeight="1"/>
    <row r="1028615" ht="10.5" customHeight="1"/>
    <row r="1028616" ht="10.5" customHeight="1"/>
    <row r="1028617" ht="10.5" customHeight="1"/>
    <row r="1028618" ht="10.5" customHeight="1"/>
    <row r="1028619" ht="10.5" customHeight="1"/>
    <row r="1028620" ht="10.5" customHeight="1"/>
    <row r="1028621" ht="10.5" customHeight="1"/>
    <row r="1028622" ht="10.5" customHeight="1"/>
    <row r="1028623" ht="10.5" customHeight="1"/>
    <row r="1028624" ht="10.5" customHeight="1"/>
    <row r="1028625" ht="10.5" customHeight="1"/>
    <row r="1028626" ht="10.5" customHeight="1"/>
    <row r="1028627" ht="10.5" customHeight="1"/>
    <row r="1028628" ht="10.5" customHeight="1"/>
    <row r="1028629" ht="10.5" customHeight="1"/>
    <row r="1028630" ht="10.5" customHeight="1"/>
    <row r="1028631" ht="10.5" customHeight="1"/>
    <row r="1028632" ht="10.5" customHeight="1"/>
    <row r="1028633" ht="10.5" customHeight="1"/>
    <row r="1028634" ht="10.5" customHeight="1"/>
    <row r="1028635" ht="10.5" customHeight="1"/>
    <row r="1028636" ht="10.5" customHeight="1"/>
    <row r="1028637" ht="10.5" customHeight="1"/>
    <row r="1028638" ht="10.5" customHeight="1"/>
    <row r="1028639" ht="10.5" customHeight="1"/>
    <row r="1028640" ht="10.5" customHeight="1"/>
    <row r="1028641" ht="10.5" customHeight="1"/>
    <row r="1028642" ht="10.5" customHeight="1"/>
    <row r="1028643" ht="10.5" customHeight="1"/>
    <row r="1028644" ht="10.5" customHeight="1"/>
    <row r="1028645" ht="10.5" customHeight="1"/>
    <row r="1028646" ht="10.5" customHeight="1"/>
    <row r="1028647" ht="10.5" customHeight="1"/>
    <row r="1028648" ht="10.5" customHeight="1"/>
    <row r="1028649" ht="10.5" customHeight="1"/>
    <row r="1028650" ht="10.5" customHeight="1"/>
    <row r="1028651" ht="10.5" customHeight="1"/>
    <row r="1028652" ht="10.5" customHeight="1"/>
    <row r="1028653" ht="10.5" customHeight="1"/>
    <row r="1028654" ht="10.5" customHeight="1"/>
    <row r="1028655" ht="10.5" customHeight="1"/>
    <row r="1028656" ht="10.5" customHeight="1"/>
    <row r="1028657" ht="10.5" customHeight="1"/>
    <row r="1028658" ht="10.5" customHeight="1"/>
    <row r="1028659" ht="10.5" customHeight="1"/>
    <row r="1028660" ht="10.5" customHeight="1"/>
    <row r="1028661" ht="10.5" customHeight="1"/>
    <row r="1028662" ht="10.5" customHeight="1"/>
    <row r="1028663" ht="10.5" customHeight="1"/>
    <row r="1028664" ht="10.5" customHeight="1"/>
    <row r="1028665" ht="10.5" customHeight="1"/>
    <row r="1028666" ht="10.5" customHeight="1"/>
    <row r="1028667" ht="10.5" customHeight="1"/>
    <row r="1028668" ht="10.5" customHeight="1"/>
    <row r="1028669" ht="10.5" customHeight="1"/>
    <row r="1028670" ht="10.5" customHeight="1"/>
    <row r="1028671" ht="10.5" customHeight="1"/>
    <row r="1028672" ht="10.5" customHeight="1"/>
    <row r="1028673" ht="10.5" customHeight="1"/>
    <row r="1028674" ht="10.5" customHeight="1"/>
    <row r="1028675" ht="10.5" customHeight="1"/>
    <row r="1028676" ht="10.5" customHeight="1"/>
    <row r="1028677" ht="10.5" customHeight="1"/>
    <row r="1028678" ht="10.5" customHeight="1"/>
    <row r="1028679" ht="10.5" customHeight="1"/>
    <row r="1028680" ht="10.5" customHeight="1"/>
    <row r="1028681" ht="10.5" customHeight="1"/>
    <row r="1028682" ht="10.5" customHeight="1"/>
    <row r="1028683" ht="10.5" customHeight="1"/>
    <row r="1028684" ht="10.5" customHeight="1"/>
    <row r="1028685" ht="10.5" customHeight="1"/>
    <row r="1028686" ht="10.5" customHeight="1"/>
    <row r="1028687" ht="10.5" customHeight="1"/>
    <row r="1028688" ht="10.5" customHeight="1"/>
    <row r="1028689" ht="10.5" customHeight="1"/>
    <row r="1028690" ht="10.5" customHeight="1"/>
    <row r="1028691" ht="10.5" customHeight="1"/>
    <row r="1028692" ht="10.5" customHeight="1"/>
    <row r="1028693" ht="10.5" customHeight="1"/>
    <row r="1028694" ht="10.5" customHeight="1"/>
    <row r="1028695" ht="10.5" customHeight="1"/>
    <row r="1028696" ht="10.5" customHeight="1"/>
    <row r="1028697" ht="10.5" customHeight="1"/>
    <row r="1028698" ht="10.5" customHeight="1"/>
    <row r="1028699" ht="10.5" customHeight="1"/>
    <row r="1028700" ht="10.5" customHeight="1"/>
    <row r="1028701" ht="10.5" customHeight="1"/>
    <row r="1028702" ht="10.5" customHeight="1"/>
    <row r="1028703" ht="10.5" customHeight="1"/>
    <row r="1028704" ht="10.5" customHeight="1"/>
    <row r="1028705" ht="10.5" customHeight="1"/>
    <row r="1028706" ht="10.5" customHeight="1"/>
    <row r="1028707" ht="10.5" customHeight="1"/>
    <row r="1028708" ht="10.5" customHeight="1"/>
    <row r="1028709" ht="10.5" customHeight="1"/>
    <row r="1028710" ht="10.5" customHeight="1"/>
    <row r="1028711" ht="10.5" customHeight="1"/>
    <row r="1028712" ht="10.5" customHeight="1"/>
    <row r="1028713" ht="10.5" customHeight="1"/>
    <row r="1028714" ht="10.5" customHeight="1"/>
    <row r="1028715" ht="10.5" customHeight="1"/>
    <row r="1028716" ht="10.5" customHeight="1"/>
    <row r="1028717" ht="10.5" customHeight="1"/>
    <row r="1028718" ht="10.5" customHeight="1"/>
    <row r="1028719" ht="10.5" customHeight="1"/>
    <row r="1028720" ht="10.5" customHeight="1"/>
    <row r="1028721" ht="10.5" customHeight="1"/>
    <row r="1028722" ht="10.5" customHeight="1"/>
    <row r="1028723" ht="10.5" customHeight="1"/>
    <row r="1028724" ht="10.5" customHeight="1"/>
    <row r="1028725" ht="10.5" customHeight="1"/>
    <row r="1028726" ht="10.5" customHeight="1"/>
    <row r="1028727" ht="10.5" customHeight="1"/>
    <row r="1028728" ht="10.5" customHeight="1"/>
    <row r="1028729" ht="10.5" customHeight="1"/>
    <row r="1028730" ht="10.5" customHeight="1"/>
    <row r="1028731" ht="10.5" customHeight="1"/>
    <row r="1028732" ht="10.5" customHeight="1"/>
    <row r="1028733" ht="10.5" customHeight="1"/>
    <row r="1028734" ht="10.5" customHeight="1"/>
    <row r="1028735" ht="10.5" customHeight="1"/>
    <row r="1028736" ht="10.5" customHeight="1"/>
    <row r="1028737" ht="10.5" customHeight="1"/>
    <row r="1028738" ht="10.5" customHeight="1"/>
    <row r="1028739" ht="10.5" customHeight="1"/>
    <row r="1028740" ht="10.5" customHeight="1"/>
    <row r="1028741" ht="10.5" customHeight="1"/>
    <row r="1028742" ht="10.5" customHeight="1"/>
    <row r="1028743" ht="10.5" customHeight="1"/>
    <row r="1028744" ht="10.5" customHeight="1"/>
    <row r="1028745" ht="10.5" customHeight="1"/>
    <row r="1028746" ht="10.5" customHeight="1"/>
    <row r="1028747" ht="10.5" customHeight="1"/>
    <row r="1028748" ht="10.5" customHeight="1"/>
    <row r="1028749" ht="10.5" customHeight="1"/>
    <row r="1028750" ht="10.5" customHeight="1"/>
    <row r="1028751" ht="10.5" customHeight="1"/>
    <row r="1028752" ht="10.5" customHeight="1"/>
    <row r="1028753" ht="10.5" customHeight="1"/>
    <row r="1028754" ht="10.5" customHeight="1"/>
    <row r="1028755" ht="10.5" customHeight="1"/>
    <row r="1028756" ht="10.5" customHeight="1"/>
    <row r="1028757" ht="10.5" customHeight="1"/>
    <row r="1028758" ht="10.5" customHeight="1"/>
    <row r="1028759" ht="10.5" customHeight="1"/>
    <row r="1028760" ht="10.5" customHeight="1"/>
    <row r="1028761" ht="10.5" customHeight="1"/>
    <row r="1028762" ht="10.5" customHeight="1"/>
    <row r="1028763" ht="10.5" customHeight="1"/>
    <row r="1028764" ht="10.5" customHeight="1"/>
    <row r="1028765" ht="10.5" customHeight="1"/>
    <row r="1028766" ht="10.5" customHeight="1"/>
    <row r="1028767" ht="10.5" customHeight="1"/>
    <row r="1028768" ht="10.5" customHeight="1"/>
    <row r="1028769" ht="10.5" customHeight="1"/>
    <row r="1028770" ht="10.5" customHeight="1"/>
    <row r="1028771" ht="10.5" customHeight="1"/>
    <row r="1028772" ht="10.5" customHeight="1"/>
    <row r="1028773" ht="10.5" customHeight="1"/>
    <row r="1028774" ht="10.5" customHeight="1"/>
    <row r="1028775" ht="10.5" customHeight="1"/>
    <row r="1028776" ht="10.5" customHeight="1"/>
    <row r="1028777" ht="10.5" customHeight="1"/>
    <row r="1028778" ht="10.5" customHeight="1"/>
    <row r="1028779" ht="10.5" customHeight="1"/>
    <row r="1028780" ht="10.5" customHeight="1"/>
    <row r="1028781" ht="10.5" customHeight="1"/>
    <row r="1028782" ht="10.5" customHeight="1"/>
    <row r="1028783" ht="10.5" customHeight="1"/>
    <row r="1028784" ht="10.5" customHeight="1"/>
    <row r="1028785" ht="10.5" customHeight="1"/>
    <row r="1028786" ht="10.5" customHeight="1"/>
    <row r="1028787" ht="10.5" customHeight="1"/>
    <row r="1028788" ht="10.5" customHeight="1"/>
    <row r="1028789" ht="10.5" customHeight="1"/>
    <row r="1028790" ht="10.5" customHeight="1"/>
    <row r="1028791" ht="10.5" customHeight="1"/>
    <row r="1028792" ht="10.5" customHeight="1"/>
    <row r="1028793" ht="10.5" customHeight="1"/>
    <row r="1028794" ht="10.5" customHeight="1"/>
    <row r="1028795" ht="10.5" customHeight="1"/>
    <row r="1028796" ht="10.5" customHeight="1"/>
    <row r="1028797" ht="10.5" customHeight="1"/>
    <row r="1028798" ht="10.5" customHeight="1"/>
    <row r="1028799" ht="10.5" customHeight="1"/>
    <row r="1028800" ht="10.5" customHeight="1"/>
    <row r="1028801" ht="10.5" customHeight="1"/>
    <row r="1028802" ht="10.5" customHeight="1"/>
    <row r="1028803" ht="10.5" customHeight="1"/>
    <row r="1028804" ht="10.5" customHeight="1"/>
    <row r="1028805" ht="10.5" customHeight="1"/>
    <row r="1028806" ht="10.5" customHeight="1"/>
    <row r="1028807" ht="10.5" customHeight="1"/>
    <row r="1028808" ht="10.5" customHeight="1"/>
    <row r="1028809" ht="10.5" customHeight="1"/>
    <row r="1028810" ht="10.5" customHeight="1"/>
    <row r="1028811" ht="10.5" customHeight="1"/>
    <row r="1028812" ht="10.5" customHeight="1"/>
    <row r="1028813" ht="10.5" customHeight="1"/>
    <row r="1028814" ht="10.5" customHeight="1"/>
    <row r="1028815" ht="10.5" customHeight="1"/>
    <row r="1028816" ht="10.5" customHeight="1"/>
    <row r="1028817" ht="10.5" customHeight="1"/>
    <row r="1028818" ht="10.5" customHeight="1"/>
    <row r="1028819" ht="10.5" customHeight="1"/>
    <row r="1028820" ht="10.5" customHeight="1"/>
    <row r="1028821" ht="10.5" customHeight="1"/>
    <row r="1028822" ht="10.5" customHeight="1"/>
    <row r="1028823" ht="10.5" customHeight="1"/>
    <row r="1028824" ht="10.5" customHeight="1"/>
    <row r="1028825" ht="10.5" customHeight="1"/>
    <row r="1028826" ht="10.5" customHeight="1"/>
    <row r="1028827" ht="10.5" customHeight="1"/>
    <row r="1028828" ht="10.5" customHeight="1"/>
    <row r="1028829" ht="10.5" customHeight="1"/>
    <row r="1028830" ht="10.5" customHeight="1"/>
    <row r="1028831" ht="10.5" customHeight="1"/>
    <row r="1028832" ht="10.5" customHeight="1"/>
    <row r="1028833" ht="10.5" customHeight="1"/>
    <row r="1028834" ht="10.5" customHeight="1"/>
    <row r="1028835" ht="10.5" customHeight="1"/>
    <row r="1028836" ht="10.5" customHeight="1"/>
    <row r="1028837" ht="10.5" customHeight="1"/>
    <row r="1028838" ht="10.5" customHeight="1"/>
    <row r="1028839" ht="10.5" customHeight="1"/>
    <row r="1028840" ht="10.5" customHeight="1"/>
    <row r="1028841" ht="10.5" customHeight="1"/>
    <row r="1028842" ht="10.5" customHeight="1"/>
    <row r="1028843" ht="10.5" customHeight="1"/>
    <row r="1028844" ht="10.5" customHeight="1"/>
    <row r="1028845" ht="10.5" customHeight="1"/>
    <row r="1028846" ht="10.5" customHeight="1"/>
    <row r="1028847" ht="10.5" customHeight="1"/>
    <row r="1028848" ht="10.5" customHeight="1"/>
    <row r="1028849" ht="10.5" customHeight="1"/>
    <row r="1028850" ht="10.5" customHeight="1"/>
    <row r="1028851" ht="10.5" customHeight="1"/>
    <row r="1028852" ht="10.5" customHeight="1"/>
    <row r="1028853" ht="10.5" customHeight="1"/>
    <row r="1028854" ht="10.5" customHeight="1"/>
    <row r="1028855" ht="10.5" customHeight="1"/>
    <row r="1028856" ht="10.5" customHeight="1"/>
    <row r="1028857" ht="10.5" customHeight="1"/>
    <row r="1028858" ht="10.5" customHeight="1"/>
    <row r="1028859" ht="10.5" customHeight="1"/>
    <row r="1028860" ht="10.5" customHeight="1"/>
    <row r="1028861" ht="10.5" customHeight="1"/>
    <row r="1028862" ht="10.5" customHeight="1"/>
    <row r="1028863" ht="10.5" customHeight="1"/>
    <row r="1028864" ht="10.5" customHeight="1"/>
    <row r="1028865" ht="10.5" customHeight="1"/>
    <row r="1028866" ht="10.5" customHeight="1"/>
    <row r="1028867" ht="10.5" customHeight="1"/>
    <row r="1028868" ht="10.5" customHeight="1"/>
    <row r="1028869" ht="10.5" customHeight="1"/>
    <row r="1028870" ht="10.5" customHeight="1"/>
    <row r="1028871" ht="10.5" customHeight="1"/>
    <row r="1028872" ht="10.5" customHeight="1"/>
    <row r="1028873" ht="10.5" customHeight="1"/>
    <row r="1028874" ht="10.5" customHeight="1"/>
    <row r="1028875" ht="10.5" customHeight="1"/>
    <row r="1028876" ht="10.5" customHeight="1"/>
    <row r="1028877" ht="10.5" customHeight="1"/>
    <row r="1028878" ht="10.5" customHeight="1"/>
    <row r="1028879" ht="10.5" customHeight="1"/>
    <row r="1028880" ht="10.5" customHeight="1"/>
    <row r="1028881" ht="10.5" customHeight="1"/>
    <row r="1028882" ht="10.5" customHeight="1"/>
    <row r="1028883" ht="10.5" customHeight="1"/>
    <row r="1028884" ht="10.5" customHeight="1"/>
    <row r="1028885" ht="10.5" customHeight="1"/>
    <row r="1028886" ht="10.5" customHeight="1"/>
    <row r="1028887" ht="10.5" customHeight="1"/>
    <row r="1028888" ht="10.5" customHeight="1"/>
    <row r="1028889" ht="10.5" customHeight="1"/>
    <row r="1028890" ht="10.5" customHeight="1"/>
    <row r="1028891" ht="10.5" customHeight="1"/>
    <row r="1028892" ht="10.5" customHeight="1"/>
    <row r="1028893" ht="10.5" customHeight="1"/>
    <row r="1028894" ht="10.5" customHeight="1"/>
    <row r="1028895" ht="10.5" customHeight="1"/>
    <row r="1028896" ht="10.5" customHeight="1"/>
    <row r="1028897" ht="10.5" customHeight="1"/>
    <row r="1028898" ht="10.5" customHeight="1"/>
    <row r="1028899" ht="10.5" customHeight="1"/>
    <row r="1028900" ht="10.5" customHeight="1"/>
    <row r="1028901" ht="10.5" customHeight="1"/>
    <row r="1028902" ht="10.5" customHeight="1"/>
    <row r="1028903" ht="10.5" customHeight="1"/>
    <row r="1028904" ht="10.5" customHeight="1"/>
    <row r="1028905" ht="10.5" customHeight="1"/>
    <row r="1028906" ht="10.5" customHeight="1"/>
    <row r="1028907" ht="10.5" customHeight="1"/>
    <row r="1028908" ht="10.5" customHeight="1"/>
    <row r="1028909" ht="10.5" customHeight="1"/>
    <row r="1028910" ht="10.5" customHeight="1"/>
    <row r="1028911" ht="10.5" customHeight="1"/>
    <row r="1028912" ht="10.5" customHeight="1"/>
    <row r="1028913" ht="10.5" customHeight="1"/>
    <row r="1028914" ht="10.5" customHeight="1"/>
    <row r="1028915" ht="10.5" customHeight="1"/>
    <row r="1028916" ht="10.5" customHeight="1"/>
    <row r="1028917" ht="10.5" customHeight="1"/>
    <row r="1028918" ht="10.5" customHeight="1"/>
    <row r="1028919" ht="10.5" customHeight="1"/>
    <row r="1028920" ht="10.5" customHeight="1"/>
    <row r="1028921" ht="10.5" customHeight="1"/>
    <row r="1028922" ht="10.5" customHeight="1"/>
    <row r="1028923" ht="10.5" customHeight="1"/>
    <row r="1028924" ht="10.5" customHeight="1"/>
    <row r="1028925" ht="10.5" customHeight="1"/>
    <row r="1028926" ht="10.5" customHeight="1"/>
    <row r="1028927" ht="10.5" customHeight="1"/>
    <row r="1028928" ht="10.5" customHeight="1"/>
    <row r="1028929" ht="10.5" customHeight="1"/>
    <row r="1028930" ht="10.5" customHeight="1"/>
    <row r="1028931" ht="10.5" customHeight="1"/>
    <row r="1028932" ht="10.5" customHeight="1"/>
    <row r="1028933" ht="10.5" customHeight="1"/>
    <row r="1028934" ht="10.5" customHeight="1"/>
    <row r="1028935" ht="10.5" customHeight="1"/>
    <row r="1028936" ht="10.5" customHeight="1"/>
    <row r="1028937" ht="10.5" customHeight="1"/>
    <row r="1028938" ht="10.5" customHeight="1"/>
    <row r="1028939" ht="10.5" customHeight="1"/>
    <row r="1028940" ht="10.5" customHeight="1"/>
    <row r="1028941" ht="10.5" customHeight="1"/>
    <row r="1028942" ht="10.5" customHeight="1"/>
    <row r="1028943" ht="10.5" customHeight="1"/>
    <row r="1028944" ht="10.5" customHeight="1"/>
    <row r="1028945" ht="10.5" customHeight="1"/>
    <row r="1028946" ht="10.5" customHeight="1"/>
    <row r="1028947" ht="10.5" customHeight="1"/>
    <row r="1028948" ht="10.5" customHeight="1"/>
    <row r="1028949" ht="10.5" customHeight="1"/>
    <row r="1028950" ht="10.5" customHeight="1"/>
    <row r="1028951" ht="10.5" customHeight="1"/>
    <row r="1028952" ht="10.5" customHeight="1"/>
    <row r="1028953" ht="10.5" customHeight="1"/>
    <row r="1028954" ht="10.5" customHeight="1"/>
    <row r="1028955" ht="10.5" customHeight="1"/>
    <row r="1028956" ht="10.5" customHeight="1"/>
    <row r="1028957" ht="10.5" customHeight="1"/>
    <row r="1028958" ht="10.5" customHeight="1"/>
    <row r="1028959" ht="10.5" customHeight="1"/>
    <row r="1028960" ht="10.5" customHeight="1"/>
    <row r="1028961" ht="10.5" customHeight="1"/>
    <row r="1028962" ht="10.5" customHeight="1"/>
    <row r="1028963" ht="10.5" customHeight="1"/>
    <row r="1028964" ht="10.5" customHeight="1"/>
    <row r="1028965" ht="10.5" customHeight="1"/>
    <row r="1028966" ht="10.5" customHeight="1"/>
    <row r="1028967" ht="10.5" customHeight="1"/>
    <row r="1028968" ht="10.5" customHeight="1"/>
    <row r="1028969" ht="10.5" customHeight="1"/>
    <row r="1028970" ht="10.5" customHeight="1"/>
    <row r="1028971" ht="10.5" customHeight="1"/>
    <row r="1028972" ht="10.5" customHeight="1"/>
    <row r="1028973" ht="10.5" customHeight="1"/>
    <row r="1028974" ht="10.5" customHeight="1"/>
    <row r="1028975" ht="10.5" customHeight="1"/>
    <row r="1028976" ht="10.5" customHeight="1"/>
    <row r="1028977" ht="10.5" customHeight="1"/>
    <row r="1028978" ht="10.5" customHeight="1"/>
    <row r="1028979" ht="10.5" customHeight="1"/>
    <row r="1028980" ht="10.5" customHeight="1"/>
    <row r="1028981" ht="10.5" customHeight="1"/>
    <row r="1028982" ht="10.5" customHeight="1"/>
    <row r="1028983" ht="10.5" customHeight="1"/>
    <row r="1028984" ht="10.5" customHeight="1"/>
    <row r="1028985" ht="10.5" customHeight="1"/>
    <row r="1028986" ht="10.5" customHeight="1"/>
    <row r="1028987" ht="10.5" customHeight="1"/>
    <row r="1028988" ht="10.5" customHeight="1"/>
    <row r="1028989" ht="10.5" customHeight="1"/>
    <row r="1028990" ht="10.5" customHeight="1"/>
    <row r="1028991" ht="10.5" customHeight="1"/>
    <row r="1028992" ht="10.5" customHeight="1"/>
    <row r="1028993" ht="10.5" customHeight="1"/>
    <row r="1028994" ht="10.5" customHeight="1"/>
    <row r="1028995" ht="10.5" customHeight="1"/>
    <row r="1028996" ht="10.5" customHeight="1"/>
    <row r="1028997" ht="10.5" customHeight="1"/>
    <row r="1028998" ht="10.5" customHeight="1"/>
    <row r="1028999" ht="10.5" customHeight="1"/>
    <row r="1029000" ht="10.5" customHeight="1"/>
    <row r="1029001" ht="10.5" customHeight="1"/>
    <row r="1029002" ht="10.5" customHeight="1"/>
    <row r="1029003" ht="10.5" customHeight="1"/>
    <row r="1029004" ht="10.5" customHeight="1"/>
    <row r="1029005" ht="10.5" customHeight="1"/>
    <row r="1029006" ht="10.5" customHeight="1"/>
    <row r="1029007" ht="10.5" customHeight="1"/>
    <row r="1029008" ht="10.5" customHeight="1"/>
    <row r="1029009" ht="10.5" customHeight="1"/>
    <row r="1029010" ht="10.5" customHeight="1"/>
    <row r="1029011" ht="10.5" customHeight="1"/>
    <row r="1029012" ht="10.5" customHeight="1"/>
    <row r="1029013" ht="10.5" customHeight="1"/>
    <row r="1029014" ht="10.5" customHeight="1"/>
    <row r="1029015" ht="10.5" customHeight="1"/>
    <row r="1029016" ht="10.5" customHeight="1"/>
    <row r="1029017" ht="10.5" customHeight="1"/>
    <row r="1029018" ht="10.5" customHeight="1"/>
    <row r="1029019" ht="10.5" customHeight="1"/>
    <row r="1029020" ht="10.5" customHeight="1"/>
    <row r="1029021" ht="10.5" customHeight="1"/>
    <row r="1029022" ht="10.5" customHeight="1"/>
    <row r="1029023" ht="10.5" customHeight="1"/>
    <row r="1029024" ht="10.5" customHeight="1"/>
    <row r="1029025" ht="10.5" customHeight="1"/>
    <row r="1029026" ht="10.5" customHeight="1"/>
    <row r="1029027" ht="10.5" customHeight="1"/>
    <row r="1029028" ht="10.5" customHeight="1"/>
    <row r="1029029" ht="10.5" customHeight="1"/>
    <row r="1029030" ht="10.5" customHeight="1"/>
    <row r="1029031" ht="10.5" customHeight="1"/>
    <row r="1029032" ht="10.5" customHeight="1"/>
    <row r="1029033" ht="10.5" customHeight="1"/>
    <row r="1029034" ht="10.5" customHeight="1"/>
    <row r="1029035" ht="10.5" customHeight="1"/>
    <row r="1029036" ht="10.5" customHeight="1"/>
    <row r="1029037" ht="10.5" customHeight="1"/>
    <row r="1029038" ht="10.5" customHeight="1"/>
    <row r="1029039" ht="10.5" customHeight="1"/>
    <row r="1029040" ht="10.5" customHeight="1"/>
    <row r="1029041" ht="10.5" customHeight="1"/>
    <row r="1029042" ht="10.5" customHeight="1"/>
    <row r="1029043" ht="10.5" customHeight="1"/>
    <row r="1029044" ht="10.5" customHeight="1"/>
    <row r="1029045" ht="10.5" customHeight="1"/>
    <row r="1029046" ht="10.5" customHeight="1"/>
    <row r="1029047" ht="10.5" customHeight="1"/>
    <row r="1029048" ht="10.5" customHeight="1"/>
    <row r="1029049" ht="10.5" customHeight="1"/>
    <row r="1029050" ht="10.5" customHeight="1"/>
    <row r="1029051" ht="10.5" customHeight="1"/>
    <row r="1029052" ht="10.5" customHeight="1"/>
    <row r="1029053" ht="10.5" customHeight="1"/>
    <row r="1029054" ht="10.5" customHeight="1"/>
    <row r="1029055" ht="10.5" customHeight="1"/>
    <row r="1029056" ht="10.5" customHeight="1"/>
    <row r="1029057" ht="10.5" customHeight="1"/>
    <row r="1029058" ht="10.5" customHeight="1"/>
    <row r="1029059" ht="10.5" customHeight="1"/>
    <row r="1029060" ht="10.5" customHeight="1"/>
    <row r="1029061" ht="10.5" customHeight="1"/>
    <row r="1029062" ht="10.5" customHeight="1"/>
    <row r="1029063" ht="10.5" customHeight="1"/>
    <row r="1029064" ht="10.5" customHeight="1"/>
    <row r="1029065" ht="10.5" customHeight="1"/>
    <row r="1029066" ht="10.5" customHeight="1"/>
    <row r="1029067" ht="10.5" customHeight="1"/>
    <row r="1029068" ht="10.5" customHeight="1"/>
    <row r="1029069" ht="10.5" customHeight="1"/>
    <row r="1029070" ht="10.5" customHeight="1"/>
    <row r="1029071" ht="10.5" customHeight="1"/>
    <row r="1029072" ht="10.5" customHeight="1"/>
    <row r="1029073" ht="10.5" customHeight="1"/>
    <row r="1029074" ht="10.5" customHeight="1"/>
    <row r="1029075" ht="10.5" customHeight="1"/>
    <row r="1029076" ht="10.5" customHeight="1"/>
    <row r="1029077" ht="10.5" customHeight="1"/>
    <row r="1029078" ht="10.5" customHeight="1"/>
    <row r="1029079" ht="10.5" customHeight="1"/>
    <row r="1029080" ht="10.5" customHeight="1"/>
    <row r="1029081" ht="10.5" customHeight="1"/>
    <row r="1029082" ht="10.5" customHeight="1"/>
    <row r="1029083" ht="10.5" customHeight="1"/>
    <row r="1029084" ht="10.5" customHeight="1"/>
    <row r="1029085" ht="10.5" customHeight="1"/>
    <row r="1029086" ht="10.5" customHeight="1"/>
    <row r="1029087" ht="10.5" customHeight="1"/>
    <row r="1029088" ht="10.5" customHeight="1"/>
    <row r="1029089" ht="10.5" customHeight="1"/>
    <row r="1029090" ht="10.5" customHeight="1"/>
    <row r="1029091" ht="10.5" customHeight="1"/>
    <row r="1029092" ht="10.5" customHeight="1"/>
    <row r="1029093" ht="10.5" customHeight="1"/>
    <row r="1029094" ht="10.5" customHeight="1"/>
    <row r="1029095" ht="10.5" customHeight="1"/>
    <row r="1029096" ht="10.5" customHeight="1"/>
    <row r="1029097" ht="10.5" customHeight="1"/>
    <row r="1029098" ht="10.5" customHeight="1"/>
    <row r="1029099" ht="10.5" customHeight="1"/>
    <row r="1029100" ht="10.5" customHeight="1"/>
    <row r="1029101" ht="10.5" customHeight="1"/>
    <row r="1029102" ht="10.5" customHeight="1"/>
    <row r="1029103" ht="10.5" customHeight="1"/>
    <row r="1029104" ht="10.5" customHeight="1"/>
    <row r="1029105" ht="10.5" customHeight="1"/>
    <row r="1029106" ht="10.5" customHeight="1"/>
    <row r="1029107" ht="10.5" customHeight="1"/>
    <row r="1029108" ht="10.5" customHeight="1"/>
    <row r="1029109" ht="10.5" customHeight="1"/>
    <row r="1029110" ht="10.5" customHeight="1"/>
    <row r="1029111" ht="10.5" customHeight="1"/>
    <row r="1029112" ht="10.5" customHeight="1"/>
    <row r="1029113" ht="10.5" customHeight="1"/>
    <row r="1029114" ht="10.5" customHeight="1"/>
    <row r="1029115" ht="10.5" customHeight="1"/>
    <row r="1029116" ht="10.5" customHeight="1"/>
    <row r="1029117" ht="10.5" customHeight="1"/>
    <row r="1029118" ht="10.5" customHeight="1"/>
    <row r="1029119" ht="10.5" customHeight="1"/>
    <row r="1029120" ht="10.5" customHeight="1"/>
    <row r="1029121" ht="10.5" customHeight="1"/>
    <row r="1029122" ht="10.5" customHeight="1"/>
    <row r="1029123" ht="10.5" customHeight="1"/>
    <row r="1029124" ht="10.5" customHeight="1"/>
    <row r="1029125" ht="10.5" customHeight="1"/>
    <row r="1029126" ht="10.5" customHeight="1"/>
    <row r="1029127" ht="10.5" customHeight="1"/>
    <row r="1029128" ht="10.5" customHeight="1"/>
    <row r="1029129" ht="10.5" customHeight="1"/>
    <row r="1029130" ht="10.5" customHeight="1"/>
    <row r="1029131" ht="10.5" customHeight="1"/>
    <row r="1029132" ht="10.5" customHeight="1"/>
    <row r="1029133" ht="10.5" customHeight="1"/>
    <row r="1029134" ht="10.5" customHeight="1"/>
    <row r="1029135" ht="10.5" customHeight="1"/>
    <row r="1029136" ht="10.5" customHeight="1"/>
    <row r="1029137" ht="10.5" customHeight="1"/>
    <row r="1029138" ht="10.5" customHeight="1"/>
    <row r="1029139" ht="10.5" customHeight="1"/>
    <row r="1029140" ht="10.5" customHeight="1"/>
    <row r="1029141" ht="10.5" customHeight="1"/>
    <row r="1029142" ht="10.5" customHeight="1"/>
    <row r="1029143" ht="10.5" customHeight="1"/>
    <row r="1029144" ht="10.5" customHeight="1"/>
    <row r="1029145" ht="10.5" customHeight="1"/>
    <row r="1029146" ht="10.5" customHeight="1"/>
    <row r="1029147" ht="10.5" customHeight="1"/>
    <row r="1029148" ht="10.5" customHeight="1"/>
    <row r="1029149" ht="10.5" customHeight="1"/>
    <row r="1029150" ht="10.5" customHeight="1"/>
    <row r="1029151" ht="10.5" customHeight="1"/>
    <row r="1029152" ht="10.5" customHeight="1"/>
    <row r="1029153" ht="10.5" customHeight="1"/>
    <row r="1029154" ht="10.5" customHeight="1"/>
    <row r="1029155" ht="10.5" customHeight="1"/>
    <row r="1029156" ht="10.5" customHeight="1"/>
    <row r="1029157" ht="10.5" customHeight="1"/>
    <row r="1029158" ht="10.5" customHeight="1"/>
    <row r="1029159" ht="10.5" customHeight="1"/>
    <row r="1029160" ht="10.5" customHeight="1"/>
    <row r="1029161" ht="10.5" customHeight="1"/>
    <row r="1029162" ht="10.5" customHeight="1"/>
    <row r="1029163" ht="10.5" customHeight="1"/>
    <row r="1029164" ht="10.5" customHeight="1"/>
    <row r="1029165" ht="10.5" customHeight="1"/>
    <row r="1029166" ht="10.5" customHeight="1"/>
    <row r="1029167" ht="10.5" customHeight="1"/>
    <row r="1029168" ht="10.5" customHeight="1"/>
    <row r="1029169" ht="10.5" customHeight="1"/>
    <row r="1029170" ht="10.5" customHeight="1"/>
    <row r="1029171" ht="10.5" customHeight="1"/>
    <row r="1029172" ht="10.5" customHeight="1"/>
    <row r="1029173" ht="10.5" customHeight="1"/>
    <row r="1029174" ht="10.5" customHeight="1"/>
    <row r="1029175" ht="10.5" customHeight="1"/>
    <row r="1029176" ht="10.5" customHeight="1"/>
    <row r="1029177" ht="10.5" customHeight="1"/>
    <row r="1029178" ht="10.5" customHeight="1"/>
    <row r="1029179" ht="10.5" customHeight="1"/>
    <row r="1029180" ht="10.5" customHeight="1"/>
    <row r="1029181" ht="10.5" customHeight="1"/>
    <row r="1029182" ht="10.5" customHeight="1"/>
    <row r="1029183" ht="10.5" customHeight="1"/>
    <row r="1029184" ht="10.5" customHeight="1"/>
    <row r="1029185" ht="10.5" customHeight="1"/>
    <row r="1029186" ht="10.5" customHeight="1"/>
    <row r="1029187" ht="10.5" customHeight="1"/>
    <row r="1029188" ht="10.5" customHeight="1"/>
    <row r="1029189" ht="10.5" customHeight="1"/>
    <row r="1029190" ht="10.5" customHeight="1"/>
    <row r="1029191" ht="10.5" customHeight="1"/>
    <row r="1029192" ht="10.5" customHeight="1"/>
    <row r="1029193" ht="10.5" customHeight="1"/>
    <row r="1029194" ht="10.5" customHeight="1"/>
    <row r="1029195" ht="10.5" customHeight="1"/>
    <row r="1029196" ht="10.5" customHeight="1"/>
    <row r="1029197" ht="10.5" customHeight="1"/>
    <row r="1029198" ht="10.5" customHeight="1"/>
    <row r="1029199" ht="10.5" customHeight="1"/>
    <row r="1029200" ht="10.5" customHeight="1"/>
    <row r="1029201" ht="10.5" customHeight="1"/>
    <row r="1029202" ht="10.5" customHeight="1"/>
    <row r="1029203" ht="10.5" customHeight="1"/>
    <row r="1029204" ht="10.5" customHeight="1"/>
    <row r="1029205" ht="10.5" customHeight="1"/>
    <row r="1029206" ht="10.5" customHeight="1"/>
    <row r="1029207" ht="10.5" customHeight="1"/>
    <row r="1029208" ht="10.5" customHeight="1"/>
    <row r="1029209" ht="10.5" customHeight="1"/>
    <row r="1029210" ht="10.5" customHeight="1"/>
    <row r="1029211" ht="10.5" customHeight="1"/>
    <row r="1029212" ht="10.5" customHeight="1"/>
    <row r="1029213" ht="10.5" customHeight="1"/>
    <row r="1029214" ht="10.5" customHeight="1"/>
    <row r="1029215" ht="10.5" customHeight="1"/>
    <row r="1029216" ht="10.5" customHeight="1"/>
    <row r="1029217" ht="10.5" customHeight="1"/>
    <row r="1029218" ht="10.5" customHeight="1"/>
    <row r="1029219" ht="10.5" customHeight="1"/>
    <row r="1029220" ht="10.5" customHeight="1"/>
    <row r="1029221" ht="10.5" customHeight="1"/>
    <row r="1029222" ht="10.5" customHeight="1"/>
    <row r="1029223" ht="10.5" customHeight="1"/>
    <row r="1029224" ht="10.5" customHeight="1"/>
    <row r="1029225" ht="10.5" customHeight="1"/>
    <row r="1029226" ht="10.5" customHeight="1"/>
    <row r="1029227" ht="10.5" customHeight="1"/>
    <row r="1029228" ht="10.5" customHeight="1"/>
    <row r="1029229" ht="10.5" customHeight="1"/>
    <row r="1029230" ht="10.5" customHeight="1"/>
    <row r="1029231" ht="10.5" customHeight="1"/>
    <row r="1029232" ht="10.5" customHeight="1"/>
    <row r="1029233" ht="10.5" customHeight="1"/>
    <row r="1029234" ht="10.5" customHeight="1"/>
    <row r="1029235" ht="10.5" customHeight="1"/>
    <row r="1029236" ht="10.5" customHeight="1"/>
    <row r="1029237" ht="10.5" customHeight="1"/>
    <row r="1029238" ht="10.5" customHeight="1"/>
    <row r="1029239" ht="10.5" customHeight="1"/>
    <row r="1029240" ht="10.5" customHeight="1"/>
    <row r="1029241" ht="10.5" customHeight="1"/>
    <row r="1029242" ht="10.5" customHeight="1"/>
    <row r="1029243" ht="10.5" customHeight="1"/>
    <row r="1029244" ht="10.5" customHeight="1"/>
    <row r="1029245" ht="10.5" customHeight="1"/>
    <row r="1029246" ht="10.5" customHeight="1"/>
    <row r="1029247" ht="10.5" customHeight="1"/>
    <row r="1029248" ht="10.5" customHeight="1"/>
    <row r="1029249" ht="10.5" customHeight="1"/>
    <row r="1029250" ht="10.5" customHeight="1"/>
    <row r="1029251" ht="10.5" customHeight="1"/>
    <row r="1029252" ht="10.5" customHeight="1"/>
    <row r="1029253" ht="10.5" customHeight="1"/>
    <row r="1029254" ht="10.5" customHeight="1"/>
    <row r="1029255" ht="10.5" customHeight="1"/>
    <row r="1029256" ht="10.5" customHeight="1"/>
    <row r="1029257" ht="10.5" customHeight="1"/>
    <row r="1029258" ht="10.5" customHeight="1"/>
    <row r="1029259" ht="10.5" customHeight="1"/>
    <row r="1029260" ht="10.5" customHeight="1"/>
    <row r="1029261" ht="10.5" customHeight="1"/>
    <row r="1029262" ht="10.5" customHeight="1"/>
    <row r="1029263" ht="10.5" customHeight="1"/>
    <row r="1029264" ht="10.5" customHeight="1"/>
    <row r="1029265" ht="10.5" customHeight="1"/>
    <row r="1029266" ht="10.5" customHeight="1"/>
    <row r="1029267" ht="10.5" customHeight="1"/>
    <row r="1029268" ht="10.5" customHeight="1"/>
    <row r="1029269" ht="10.5" customHeight="1"/>
    <row r="1029270" ht="10.5" customHeight="1"/>
    <row r="1029271" ht="10.5" customHeight="1"/>
    <row r="1029272" ht="10.5" customHeight="1"/>
    <row r="1029273" ht="10.5" customHeight="1"/>
    <row r="1029274" ht="10.5" customHeight="1"/>
    <row r="1029275" ht="10.5" customHeight="1"/>
    <row r="1029276" ht="10.5" customHeight="1"/>
    <row r="1029277" ht="10.5" customHeight="1"/>
    <row r="1029278" ht="10.5" customHeight="1"/>
    <row r="1029279" ht="10.5" customHeight="1"/>
    <row r="1029280" ht="10.5" customHeight="1"/>
    <row r="1029281" ht="10.5" customHeight="1"/>
    <row r="1029282" ht="10.5" customHeight="1"/>
    <row r="1029283" ht="10.5" customHeight="1"/>
    <row r="1029284" ht="10.5" customHeight="1"/>
    <row r="1029285" ht="10.5" customHeight="1"/>
    <row r="1029286" ht="10.5" customHeight="1"/>
    <row r="1029287" ht="10.5" customHeight="1"/>
    <row r="1029288" ht="10.5" customHeight="1"/>
    <row r="1029289" ht="10.5" customHeight="1"/>
    <row r="1029290" ht="10.5" customHeight="1"/>
    <row r="1029291" ht="10.5" customHeight="1"/>
    <row r="1029292" ht="10.5" customHeight="1"/>
    <row r="1029293" ht="10.5" customHeight="1"/>
    <row r="1029294" ht="10.5" customHeight="1"/>
    <row r="1029295" ht="10.5" customHeight="1"/>
    <row r="1029296" ht="10.5" customHeight="1"/>
    <row r="1029297" ht="10.5" customHeight="1"/>
    <row r="1029298" ht="10.5" customHeight="1"/>
    <row r="1029299" ht="10.5" customHeight="1"/>
    <row r="1029300" ht="10.5" customHeight="1"/>
    <row r="1029301" ht="10.5" customHeight="1"/>
    <row r="1029302" ht="10.5" customHeight="1"/>
    <row r="1029303" ht="10.5" customHeight="1"/>
    <row r="1029304" ht="10.5" customHeight="1"/>
    <row r="1029305" ht="10.5" customHeight="1"/>
    <row r="1029306" ht="10.5" customHeight="1"/>
    <row r="1029307" ht="10.5" customHeight="1"/>
    <row r="1029308" ht="10.5" customHeight="1"/>
    <row r="1029309" ht="10.5" customHeight="1"/>
    <row r="1029310" ht="10.5" customHeight="1"/>
    <row r="1029311" ht="10.5" customHeight="1"/>
    <row r="1029312" ht="10.5" customHeight="1"/>
    <row r="1029313" ht="10.5" customHeight="1"/>
    <row r="1029314" ht="10.5" customHeight="1"/>
    <row r="1029315" ht="10.5" customHeight="1"/>
    <row r="1029316" ht="10.5" customHeight="1"/>
    <row r="1029317" ht="10.5" customHeight="1"/>
    <row r="1029318" ht="10.5" customHeight="1"/>
    <row r="1029319" ht="10.5" customHeight="1"/>
    <row r="1029320" ht="10.5" customHeight="1"/>
    <row r="1029321" ht="10.5" customHeight="1"/>
    <row r="1029322" ht="10.5" customHeight="1"/>
    <row r="1029323" ht="10.5" customHeight="1"/>
    <row r="1029324" ht="10.5" customHeight="1"/>
    <row r="1029325" ht="10.5" customHeight="1"/>
    <row r="1029326" ht="10.5" customHeight="1"/>
    <row r="1029327" ht="10.5" customHeight="1"/>
    <row r="1029328" ht="10.5" customHeight="1"/>
    <row r="1029329" ht="10.5" customHeight="1"/>
    <row r="1029330" ht="10.5" customHeight="1"/>
    <row r="1029331" ht="10.5" customHeight="1"/>
    <row r="1029332" ht="10.5" customHeight="1"/>
    <row r="1029333" ht="10.5" customHeight="1"/>
    <row r="1029334" ht="10.5" customHeight="1"/>
    <row r="1029335" ht="10.5" customHeight="1"/>
    <row r="1029336" ht="10.5" customHeight="1"/>
    <row r="1029337" ht="10.5" customHeight="1"/>
    <row r="1029338" ht="10.5" customHeight="1"/>
    <row r="1029339" ht="10.5" customHeight="1"/>
    <row r="1029340" ht="10.5" customHeight="1"/>
    <row r="1029341" ht="10.5" customHeight="1"/>
    <row r="1029342" ht="10.5" customHeight="1"/>
    <row r="1029343" ht="10.5" customHeight="1"/>
    <row r="1029344" ht="10.5" customHeight="1"/>
    <row r="1029345" ht="10.5" customHeight="1"/>
    <row r="1029346" ht="10.5" customHeight="1"/>
    <row r="1029347" ht="10.5" customHeight="1"/>
    <row r="1029348" ht="10.5" customHeight="1"/>
    <row r="1029349" ht="10.5" customHeight="1"/>
    <row r="1029350" ht="10.5" customHeight="1"/>
    <row r="1029351" ht="10.5" customHeight="1"/>
    <row r="1029352" ht="10.5" customHeight="1"/>
    <row r="1029353" ht="10.5" customHeight="1"/>
    <row r="1029354" ht="10.5" customHeight="1"/>
    <row r="1029355" ht="10.5" customHeight="1"/>
    <row r="1029356" ht="10.5" customHeight="1"/>
    <row r="1029357" ht="10.5" customHeight="1"/>
    <row r="1029358" ht="10.5" customHeight="1"/>
    <row r="1029359" ht="10.5" customHeight="1"/>
    <row r="1029360" ht="10.5" customHeight="1"/>
    <row r="1029361" ht="10.5" customHeight="1"/>
    <row r="1029362" ht="10.5" customHeight="1"/>
    <row r="1029363" ht="10.5" customHeight="1"/>
    <row r="1029364" ht="10.5" customHeight="1"/>
    <row r="1029365" ht="10.5" customHeight="1"/>
    <row r="1029366" ht="10.5" customHeight="1"/>
    <row r="1029367" ht="10.5" customHeight="1"/>
    <row r="1029368" ht="10.5" customHeight="1"/>
    <row r="1029369" ht="10.5" customHeight="1"/>
    <row r="1029370" ht="10.5" customHeight="1"/>
    <row r="1029371" ht="10.5" customHeight="1"/>
    <row r="1029372" ht="10.5" customHeight="1"/>
    <row r="1029373" ht="10.5" customHeight="1"/>
    <row r="1029374" ht="10.5" customHeight="1"/>
    <row r="1029375" ht="10.5" customHeight="1"/>
    <row r="1029376" ht="10.5" customHeight="1"/>
    <row r="1029377" ht="10.5" customHeight="1"/>
    <row r="1029378" ht="10.5" customHeight="1"/>
    <row r="1029379" ht="10.5" customHeight="1"/>
    <row r="1029380" ht="10.5" customHeight="1"/>
    <row r="1029381" ht="10.5" customHeight="1"/>
    <row r="1029382" ht="10.5" customHeight="1"/>
    <row r="1029383" ht="10.5" customHeight="1"/>
    <row r="1029384" ht="10.5" customHeight="1"/>
    <row r="1029385" ht="10.5" customHeight="1"/>
    <row r="1029386" ht="10.5" customHeight="1"/>
    <row r="1029387" ht="10.5" customHeight="1"/>
    <row r="1029388" ht="10.5" customHeight="1"/>
    <row r="1029389" ht="10.5" customHeight="1"/>
    <row r="1029390" ht="10.5" customHeight="1"/>
    <row r="1029391" ht="10.5" customHeight="1"/>
    <row r="1029392" ht="10.5" customHeight="1"/>
    <row r="1029393" ht="10.5" customHeight="1"/>
    <row r="1029394" ht="10.5" customHeight="1"/>
    <row r="1029395" ht="10.5" customHeight="1"/>
    <row r="1029396" ht="10.5" customHeight="1"/>
    <row r="1029397" ht="10.5" customHeight="1"/>
    <row r="1029398" ht="10.5" customHeight="1"/>
    <row r="1029399" ht="10.5" customHeight="1"/>
    <row r="1029400" ht="10.5" customHeight="1"/>
    <row r="1029401" ht="10.5" customHeight="1"/>
    <row r="1029402" ht="10.5" customHeight="1"/>
    <row r="1029403" ht="10.5" customHeight="1"/>
    <row r="1029404" ht="10.5" customHeight="1"/>
    <row r="1029405" ht="10.5" customHeight="1"/>
    <row r="1029406" ht="10.5" customHeight="1"/>
    <row r="1029407" ht="10.5" customHeight="1"/>
    <row r="1029408" ht="10.5" customHeight="1"/>
    <row r="1029409" ht="10.5" customHeight="1"/>
    <row r="1029410" ht="10.5" customHeight="1"/>
    <row r="1029411" ht="10.5" customHeight="1"/>
    <row r="1029412" ht="10.5" customHeight="1"/>
    <row r="1029413" ht="10.5" customHeight="1"/>
    <row r="1029414" ht="10.5" customHeight="1"/>
    <row r="1029415" ht="10.5" customHeight="1"/>
    <row r="1029416" ht="10.5" customHeight="1"/>
    <row r="1029417" ht="10.5" customHeight="1"/>
    <row r="1029418" ht="10.5" customHeight="1"/>
    <row r="1029419" ht="10.5" customHeight="1"/>
    <row r="1029420" ht="10.5" customHeight="1"/>
    <row r="1029421" ht="10.5" customHeight="1"/>
    <row r="1029422" ht="10.5" customHeight="1"/>
    <row r="1029423" ht="10.5" customHeight="1"/>
    <row r="1029424" ht="10.5" customHeight="1"/>
    <row r="1029425" ht="10.5" customHeight="1"/>
    <row r="1029426" ht="10.5" customHeight="1"/>
    <row r="1029427" ht="10.5" customHeight="1"/>
    <row r="1029428" ht="10.5" customHeight="1"/>
    <row r="1029429" ht="10.5" customHeight="1"/>
    <row r="1029430" ht="10.5" customHeight="1"/>
    <row r="1029431" ht="10.5" customHeight="1"/>
    <row r="1029432" ht="10.5" customHeight="1"/>
    <row r="1029433" ht="10.5" customHeight="1"/>
    <row r="1029434" ht="10.5" customHeight="1"/>
    <row r="1029435" ht="10.5" customHeight="1"/>
    <row r="1029436" ht="10.5" customHeight="1"/>
    <row r="1029437" ht="10.5" customHeight="1"/>
    <row r="1029438" ht="10.5" customHeight="1"/>
    <row r="1029439" ht="10.5" customHeight="1"/>
    <row r="1029440" ht="10.5" customHeight="1"/>
    <row r="1029441" ht="10.5" customHeight="1"/>
    <row r="1029442" ht="10.5" customHeight="1"/>
    <row r="1029443" ht="10.5" customHeight="1"/>
    <row r="1029444" ht="10.5" customHeight="1"/>
    <row r="1029445" ht="10.5" customHeight="1"/>
    <row r="1029446" ht="10.5" customHeight="1"/>
    <row r="1029447" ht="10.5" customHeight="1"/>
    <row r="1029448" ht="10.5" customHeight="1"/>
    <row r="1029449" ht="10.5" customHeight="1"/>
    <row r="1029450" ht="10.5" customHeight="1"/>
    <row r="1029451" ht="10.5" customHeight="1"/>
    <row r="1029452" ht="10.5" customHeight="1"/>
    <row r="1029453" ht="10.5" customHeight="1"/>
    <row r="1029454" ht="10.5" customHeight="1"/>
    <row r="1029455" ht="10.5" customHeight="1"/>
    <row r="1029456" ht="10.5" customHeight="1"/>
    <row r="1029457" ht="10.5" customHeight="1"/>
    <row r="1029458" ht="10.5" customHeight="1"/>
    <row r="1029459" ht="10.5" customHeight="1"/>
    <row r="1029460" ht="10.5" customHeight="1"/>
    <row r="1029461" ht="10.5" customHeight="1"/>
    <row r="1029462" ht="10.5" customHeight="1"/>
    <row r="1029463" ht="10.5" customHeight="1"/>
    <row r="1029464" ht="10.5" customHeight="1"/>
    <row r="1029465" ht="10.5" customHeight="1"/>
    <row r="1029466" ht="10.5" customHeight="1"/>
    <row r="1029467" ht="10.5" customHeight="1"/>
    <row r="1029468" ht="10.5" customHeight="1"/>
    <row r="1029469" ht="10.5" customHeight="1"/>
    <row r="1029470" ht="10.5" customHeight="1"/>
    <row r="1029471" ht="10.5" customHeight="1"/>
    <row r="1029472" ht="10.5" customHeight="1"/>
    <row r="1029473" ht="10.5" customHeight="1"/>
    <row r="1029474" ht="10.5" customHeight="1"/>
    <row r="1029475" ht="10.5" customHeight="1"/>
    <row r="1029476" ht="10.5" customHeight="1"/>
    <row r="1029477" ht="10.5" customHeight="1"/>
    <row r="1029478" ht="10.5" customHeight="1"/>
    <row r="1029479" ht="10.5" customHeight="1"/>
    <row r="1029480" ht="10.5" customHeight="1"/>
    <row r="1029481" ht="10.5" customHeight="1"/>
    <row r="1029482" ht="10.5" customHeight="1"/>
    <row r="1029483" ht="10.5" customHeight="1"/>
    <row r="1029484" ht="10.5" customHeight="1"/>
    <row r="1029485" ht="10.5" customHeight="1"/>
    <row r="1029486" ht="10.5" customHeight="1"/>
    <row r="1029487" ht="10.5" customHeight="1"/>
    <row r="1029488" ht="10.5" customHeight="1"/>
    <row r="1029489" ht="10.5" customHeight="1"/>
    <row r="1029490" ht="10.5" customHeight="1"/>
    <row r="1029491" ht="10.5" customHeight="1"/>
    <row r="1029492" ht="10.5" customHeight="1"/>
    <row r="1029493" ht="10.5" customHeight="1"/>
    <row r="1029494" ht="10.5" customHeight="1"/>
    <row r="1029495" ht="10.5" customHeight="1"/>
    <row r="1029496" ht="10.5" customHeight="1"/>
    <row r="1029497" ht="10.5" customHeight="1"/>
    <row r="1029498" ht="10.5" customHeight="1"/>
    <row r="1029499" ht="10.5" customHeight="1"/>
    <row r="1029500" ht="10.5" customHeight="1"/>
    <row r="1029501" ht="10.5" customHeight="1"/>
    <row r="1029502" ht="10.5" customHeight="1"/>
    <row r="1029503" ht="10.5" customHeight="1"/>
    <row r="1029504" ht="10.5" customHeight="1"/>
    <row r="1029505" ht="10.5" customHeight="1"/>
    <row r="1029506" ht="10.5" customHeight="1"/>
    <row r="1029507" ht="10.5" customHeight="1"/>
    <row r="1029508" ht="10.5" customHeight="1"/>
    <row r="1029509" ht="10.5" customHeight="1"/>
    <row r="1029510" ht="10.5" customHeight="1"/>
    <row r="1029511" ht="10.5" customHeight="1"/>
    <row r="1029512" ht="10.5" customHeight="1"/>
    <row r="1029513" ht="10.5" customHeight="1"/>
    <row r="1029514" ht="10.5" customHeight="1"/>
    <row r="1029515" ht="10.5" customHeight="1"/>
    <row r="1029516" ht="10.5" customHeight="1"/>
    <row r="1029517" ht="10.5" customHeight="1"/>
    <row r="1029518" ht="10.5" customHeight="1"/>
    <row r="1029519" ht="10.5" customHeight="1"/>
    <row r="1029520" ht="10.5" customHeight="1"/>
    <row r="1029521" ht="10.5" customHeight="1"/>
    <row r="1029522" ht="10.5" customHeight="1"/>
    <row r="1029523" ht="10.5" customHeight="1"/>
    <row r="1029524" ht="10.5" customHeight="1"/>
    <row r="1029525" ht="10.5" customHeight="1"/>
    <row r="1029526" ht="10.5" customHeight="1"/>
    <row r="1029527" ht="10.5" customHeight="1"/>
    <row r="1029528" ht="10.5" customHeight="1"/>
    <row r="1029529" ht="10.5" customHeight="1"/>
    <row r="1029530" ht="10.5" customHeight="1"/>
    <row r="1029531" ht="10.5" customHeight="1"/>
    <row r="1029532" ht="10.5" customHeight="1"/>
    <row r="1029533" ht="10.5" customHeight="1"/>
    <row r="1029534" ht="10.5" customHeight="1"/>
    <row r="1029535" ht="10.5" customHeight="1"/>
    <row r="1029536" ht="10.5" customHeight="1"/>
    <row r="1029537" ht="10.5" customHeight="1"/>
    <row r="1029538" ht="10.5" customHeight="1"/>
    <row r="1029539" ht="10.5" customHeight="1"/>
    <row r="1029540" ht="10.5" customHeight="1"/>
    <row r="1029541" ht="10.5" customHeight="1"/>
    <row r="1029542" ht="10.5" customHeight="1"/>
    <row r="1029543" ht="10.5" customHeight="1"/>
    <row r="1029544" ht="10.5" customHeight="1"/>
    <row r="1029545" ht="10.5" customHeight="1"/>
    <row r="1029546" ht="10.5" customHeight="1"/>
    <row r="1029547" ht="10.5" customHeight="1"/>
    <row r="1029548" ht="10.5" customHeight="1"/>
    <row r="1029549" ht="10.5" customHeight="1"/>
    <row r="1029550" ht="10.5" customHeight="1"/>
    <row r="1029551" ht="10.5" customHeight="1"/>
    <row r="1029552" ht="10.5" customHeight="1"/>
    <row r="1029553" ht="10.5" customHeight="1"/>
    <row r="1029554" ht="10.5" customHeight="1"/>
    <row r="1029555" ht="10.5" customHeight="1"/>
    <row r="1029556" ht="10.5" customHeight="1"/>
    <row r="1029557" ht="10.5" customHeight="1"/>
    <row r="1029558" ht="10.5" customHeight="1"/>
    <row r="1029559" ht="10.5" customHeight="1"/>
    <row r="1029560" ht="10.5" customHeight="1"/>
    <row r="1029561" ht="10.5" customHeight="1"/>
    <row r="1029562" ht="10.5" customHeight="1"/>
    <row r="1029563" ht="10.5" customHeight="1"/>
    <row r="1029564" ht="10.5" customHeight="1"/>
    <row r="1029565" ht="10.5" customHeight="1"/>
    <row r="1029566" ht="10.5" customHeight="1"/>
    <row r="1029567" ht="10.5" customHeight="1"/>
    <row r="1029568" ht="10.5" customHeight="1"/>
    <row r="1029569" ht="10.5" customHeight="1"/>
    <row r="1029570" ht="10.5" customHeight="1"/>
    <row r="1029571" ht="10.5" customHeight="1"/>
    <row r="1029572" ht="10.5" customHeight="1"/>
    <row r="1029573" ht="10.5" customHeight="1"/>
    <row r="1029574" ht="10.5" customHeight="1"/>
    <row r="1029575" ht="10.5" customHeight="1"/>
    <row r="1029576" ht="10.5" customHeight="1"/>
    <row r="1029577" ht="10.5" customHeight="1"/>
    <row r="1029578" ht="10.5" customHeight="1"/>
    <row r="1029579" ht="10.5" customHeight="1"/>
    <row r="1029580" ht="10.5" customHeight="1"/>
    <row r="1029581" ht="10.5" customHeight="1"/>
    <row r="1029582" ht="10.5" customHeight="1"/>
    <row r="1029583" ht="10.5" customHeight="1"/>
    <row r="1029584" ht="10.5" customHeight="1"/>
    <row r="1029585" ht="10.5" customHeight="1"/>
    <row r="1029586" ht="10.5" customHeight="1"/>
    <row r="1029587" ht="10.5" customHeight="1"/>
    <row r="1029588" ht="10.5" customHeight="1"/>
    <row r="1029589" ht="10.5" customHeight="1"/>
    <row r="1029590" ht="10.5" customHeight="1"/>
    <row r="1029591" ht="10.5" customHeight="1"/>
    <row r="1029592" ht="10.5" customHeight="1"/>
    <row r="1029593" ht="10.5" customHeight="1"/>
    <row r="1029594" ht="10.5" customHeight="1"/>
    <row r="1029595" ht="10.5" customHeight="1"/>
    <row r="1029596" ht="10.5" customHeight="1"/>
    <row r="1029597" ht="10.5" customHeight="1"/>
    <row r="1029598" ht="10.5" customHeight="1"/>
    <row r="1029599" ht="10.5" customHeight="1"/>
    <row r="1029600" ht="10.5" customHeight="1"/>
    <row r="1029601" ht="10.5" customHeight="1"/>
    <row r="1029602" ht="10.5" customHeight="1"/>
    <row r="1029603" ht="10.5" customHeight="1"/>
    <row r="1029604" ht="10.5" customHeight="1"/>
    <row r="1029605" ht="10.5" customHeight="1"/>
    <row r="1029606" ht="10.5" customHeight="1"/>
    <row r="1029607" ht="10.5" customHeight="1"/>
    <row r="1029608" ht="10.5" customHeight="1"/>
    <row r="1029609" ht="10.5" customHeight="1"/>
    <row r="1029610" ht="10.5" customHeight="1"/>
    <row r="1029611" ht="10.5" customHeight="1"/>
    <row r="1029612" ht="10.5" customHeight="1"/>
    <row r="1029613" ht="10.5" customHeight="1"/>
    <row r="1029614" ht="10.5" customHeight="1"/>
    <row r="1029615" ht="10.5" customHeight="1"/>
    <row r="1029616" ht="10.5" customHeight="1"/>
    <row r="1029617" ht="10.5" customHeight="1"/>
    <row r="1029618" ht="10.5" customHeight="1"/>
    <row r="1029619" ht="10.5" customHeight="1"/>
    <row r="1029620" ht="10.5" customHeight="1"/>
    <row r="1029621" ht="10.5" customHeight="1"/>
    <row r="1029622" ht="10.5" customHeight="1"/>
    <row r="1029623" ht="10.5" customHeight="1"/>
    <row r="1029624" ht="10.5" customHeight="1"/>
    <row r="1029625" ht="10.5" customHeight="1"/>
    <row r="1029626" ht="10.5" customHeight="1"/>
    <row r="1029627" ht="10.5" customHeight="1"/>
    <row r="1029628" ht="10.5" customHeight="1"/>
    <row r="1029629" ht="10.5" customHeight="1"/>
    <row r="1029630" ht="10.5" customHeight="1"/>
    <row r="1029631" ht="10.5" customHeight="1"/>
    <row r="1029632" ht="10.5" customHeight="1"/>
    <row r="1029633" ht="10.5" customHeight="1"/>
    <row r="1029634" ht="10.5" customHeight="1"/>
    <row r="1029635" ht="10.5" customHeight="1"/>
    <row r="1029636" ht="10.5" customHeight="1"/>
    <row r="1029637" ht="10.5" customHeight="1"/>
    <row r="1029638" ht="10.5" customHeight="1"/>
    <row r="1029639" ht="10.5" customHeight="1"/>
    <row r="1029640" ht="10.5" customHeight="1"/>
    <row r="1029641" ht="10.5" customHeight="1"/>
    <row r="1029642" ht="10.5" customHeight="1"/>
    <row r="1029643" ht="10.5" customHeight="1"/>
    <row r="1029644" ht="10.5" customHeight="1"/>
    <row r="1029645" ht="10.5" customHeight="1"/>
    <row r="1029646" ht="10.5" customHeight="1"/>
    <row r="1029647" ht="10.5" customHeight="1"/>
    <row r="1029648" ht="10.5" customHeight="1"/>
    <row r="1029649" ht="10.5" customHeight="1"/>
    <row r="1029650" ht="10.5" customHeight="1"/>
    <row r="1029651" ht="10.5" customHeight="1"/>
    <row r="1029652" ht="10.5" customHeight="1"/>
    <row r="1029653" ht="10.5" customHeight="1"/>
    <row r="1029654" ht="10.5" customHeight="1"/>
    <row r="1029655" ht="10.5" customHeight="1"/>
    <row r="1029656" ht="10.5" customHeight="1"/>
    <row r="1029657" ht="10.5" customHeight="1"/>
    <row r="1029658" ht="10.5" customHeight="1"/>
    <row r="1029659" ht="10.5" customHeight="1"/>
    <row r="1029660" ht="10.5" customHeight="1"/>
    <row r="1029661" ht="10.5" customHeight="1"/>
    <row r="1029662" ht="10.5" customHeight="1"/>
    <row r="1029663" ht="10.5" customHeight="1"/>
    <row r="1029664" ht="10.5" customHeight="1"/>
    <row r="1029665" ht="10.5" customHeight="1"/>
    <row r="1029666" ht="10.5" customHeight="1"/>
    <row r="1029667" ht="10.5" customHeight="1"/>
    <row r="1029668" ht="10.5" customHeight="1"/>
    <row r="1029669" ht="10.5" customHeight="1"/>
    <row r="1029670" ht="10.5" customHeight="1"/>
    <row r="1029671" ht="10.5" customHeight="1"/>
    <row r="1029672" ht="10.5" customHeight="1"/>
    <row r="1029673" ht="10.5" customHeight="1"/>
    <row r="1029674" ht="10.5" customHeight="1"/>
    <row r="1029675" ht="10.5" customHeight="1"/>
    <row r="1029676" ht="10.5" customHeight="1"/>
    <row r="1029677" ht="10.5" customHeight="1"/>
    <row r="1029678" ht="10.5" customHeight="1"/>
    <row r="1029679" ht="10.5" customHeight="1"/>
    <row r="1029680" ht="10.5" customHeight="1"/>
    <row r="1029681" ht="10.5" customHeight="1"/>
    <row r="1029682" ht="10.5" customHeight="1"/>
    <row r="1029683" ht="10.5" customHeight="1"/>
    <row r="1029684" ht="10.5" customHeight="1"/>
    <row r="1029685" ht="10.5" customHeight="1"/>
    <row r="1029686" ht="10.5" customHeight="1"/>
    <row r="1029687" ht="10.5" customHeight="1"/>
    <row r="1029688" ht="10.5" customHeight="1"/>
    <row r="1029689" ht="10.5" customHeight="1"/>
    <row r="1029690" ht="10.5" customHeight="1"/>
    <row r="1029691" ht="10.5" customHeight="1"/>
    <row r="1029692" ht="10.5" customHeight="1"/>
    <row r="1029693" ht="10.5" customHeight="1"/>
    <row r="1029694" ht="10.5" customHeight="1"/>
    <row r="1029695" ht="10.5" customHeight="1"/>
    <row r="1029696" ht="10.5" customHeight="1"/>
    <row r="1029697" ht="10.5" customHeight="1"/>
    <row r="1029698" ht="10.5" customHeight="1"/>
    <row r="1029699" ht="10.5" customHeight="1"/>
    <row r="1029700" ht="10.5" customHeight="1"/>
    <row r="1029701" ht="10.5" customHeight="1"/>
    <row r="1029702" ht="10.5" customHeight="1"/>
    <row r="1029703" ht="10.5" customHeight="1"/>
    <row r="1029704" ht="10.5" customHeight="1"/>
    <row r="1029705" ht="10.5" customHeight="1"/>
    <row r="1029706" ht="10.5" customHeight="1"/>
    <row r="1029707" ht="10.5" customHeight="1"/>
    <row r="1029708" ht="10.5" customHeight="1"/>
    <row r="1029709" ht="10.5" customHeight="1"/>
    <row r="1029710" ht="10.5" customHeight="1"/>
    <row r="1029711" ht="10.5" customHeight="1"/>
    <row r="1029712" ht="10.5" customHeight="1"/>
    <row r="1029713" ht="10.5" customHeight="1"/>
    <row r="1029714" ht="10.5" customHeight="1"/>
    <row r="1029715" ht="10.5" customHeight="1"/>
    <row r="1029716" ht="10.5" customHeight="1"/>
    <row r="1029717" ht="10.5" customHeight="1"/>
    <row r="1029718" ht="10.5" customHeight="1"/>
    <row r="1029719" ht="10.5" customHeight="1"/>
    <row r="1029720" ht="10.5" customHeight="1"/>
    <row r="1029721" ht="10.5" customHeight="1"/>
    <row r="1029722" ht="10.5" customHeight="1"/>
    <row r="1029723" ht="10.5" customHeight="1"/>
    <row r="1029724" ht="10.5" customHeight="1"/>
    <row r="1029725" ht="10.5" customHeight="1"/>
    <row r="1029726" ht="10.5" customHeight="1"/>
    <row r="1029727" ht="10.5" customHeight="1"/>
    <row r="1029728" ht="10.5" customHeight="1"/>
    <row r="1029729" ht="10.5" customHeight="1"/>
    <row r="1029730" ht="10.5" customHeight="1"/>
    <row r="1029731" ht="10.5" customHeight="1"/>
    <row r="1029732" ht="10.5" customHeight="1"/>
    <row r="1029733" ht="10.5" customHeight="1"/>
    <row r="1029734" ht="10.5" customHeight="1"/>
    <row r="1029735" ht="10.5" customHeight="1"/>
    <row r="1029736" ht="10.5" customHeight="1"/>
    <row r="1029737" ht="10.5" customHeight="1"/>
    <row r="1029738" ht="10.5" customHeight="1"/>
    <row r="1029739" ht="10.5" customHeight="1"/>
    <row r="1029740" ht="10.5" customHeight="1"/>
    <row r="1029741" ht="10.5" customHeight="1"/>
    <row r="1029742" ht="10.5" customHeight="1"/>
    <row r="1029743" ht="10.5" customHeight="1"/>
    <row r="1029744" ht="10.5" customHeight="1"/>
    <row r="1029745" ht="10.5" customHeight="1"/>
    <row r="1029746" ht="10.5" customHeight="1"/>
    <row r="1029747" ht="10.5" customHeight="1"/>
    <row r="1029748" ht="10.5" customHeight="1"/>
    <row r="1029749" ht="10.5" customHeight="1"/>
    <row r="1029750" ht="10.5" customHeight="1"/>
    <row r="1029751" ht="10.5" customHeight="1"/>
    <row r="1029752" ht="10.5" customHeight="1"/>
    <row r="1029753" ht="10.5" customHeight="1"/>
    <row r="1029754" ht="10.5" customHeight="1"/>
    <row r="1029755" ht="10.5" customHeight="1"/>
    <row r="1029756" ht="10.5" customHeight="1"/>
    <row r="1029757" ht="10.5" customHeight="1"/>
    <row r="1029758" ht="10.5" customHeight="1"/>
    <row r="1029759" ht="10.5" customHeight="1"/>
    <row r="1029760" ht="10.5" customHeight="1"/>
    <row r="1029761" ht="10.5" customHeight="1"/>
    <row r="1029762" ht="10.5" customHeight="1"/>
    <row r="1029763" ht="10.5" customHeight="1"/>
    <row r="1029764" ht="10.5" customHeight="1"/>
    <row r="1029765" ht="10.5" customHeight="1"/>
    <row r="1029766" ht="10.5" customHeight="1"/>
    <row r="1029767" ht="10.5" customHeight="1"/>
    <row r="1029768" ht="10.5" customHeight="1"/>
    <row r="1029769" ht="10.5" customHeight="1"/>
    <row r="1029770" ht="10.5" customHeight="1"/>
    <row r="1029771" ht="10.5" customHeight="1"/>
    <row r="1029772" ht="10.5" customHeight="1"/>
    <row r="1029773" ht="10.5" customHeight="1"/>
    <row r="1029774" ht="10.5" customHeight="1"/>
    <row r="1029775" ht="10.5" customHeight="1"/>
    <row r="1029776" ht="10.5" customHeight="1"/>
    <row r="1029777" ht="10.5" customHeight="1"/>
    <row r="1029778" ht="10.5" customHeight="1"/>
    <row r="1029779" ht="10.5" customHeight="1"/>
    <row r="1029780" ht="10.5" customHeight="1"/>
    <row r="1029781" ht="10.5" customHeight="1"/>
    <row r="1029782" ht="10.5" customHeight="1"/>
    <row r="1029783" ht="10.5" customHeight="1"/>
    <row r="1029784" ht="10.5" customHeight="1"/>
    <row r="1029785" ht="10.5" customHeight="1"/>
    <row r="1029786" ht="10.5" customHeight="1"/>
    <row r="1029787" ht="10.5" customHeight="1"/>
    <row r="1029788" ht="10.5" customHeight="1"/>
    <row r="1029789" ht="10.5" customHeight="1"/>
    <row r="1029790" ht="10.5" customHeight="1"/>
    <row r="1029791" ht="10.5" customHeight="1"/>
    <row r="1029792" ht="10.5" customHeight="1"/>
    <row r="1029793" ht="10.5" customHeight="1"/>
    <row r="1029794" ht="10.5" customHeight="1"/>
    <row r="1029795" ht="10.5" customHeight="1"/>
    <row r="1029796" ht="10.5" customHeight="1"/>
    <row r="1029797" ht="10.5" customHeight="1"/>
    <row r="1029798" ht="10.5" customHeight="1"/>
    <row r="1029799" ht="10.5" customHeight="1"/>
    <row r="1029800" ht="10.5" customHeight="1"/>
    <row r="1029801" ht="10.5" customHeight="1"/>
    <row r="1029802" ht="10.5" customHeight="1"/>
    <row r="1029803" ht="10.5" customHeight="1"/>
    <row r="1029804" ht="10.5" customHeight="1"/>
    <row r="1029805" ht="10.5" customHeight="1"/>
    <row r="1029806" ht="10.5" customHeight="1"/>
    <row r="1029807" ht="10.5" customHeight="1"/>
    <row r="1029808" ht="10.5" customHeight="1"/>
    <row r="1029809" ht="10.5" customHeight="1"/>
    <row r="1029810" ht="10.5" customHeight="1"/>
    <row r="1029811" ht="10.5" customHeight="1"/>
    <row r="1029812" ht="10.5" customHeight="1"/>
    <row r="1029813" ht="10.5" customHeight="1"/>
    <row r="1029814" ht="10.5" customHeight="1"/>
    <row r="1029815" ht="10.5" customHeight="1"/>
    <row r="1029816" ht="10.5" customHeight="1"/>
    <row r="1029817" ht="10.5" customHeight="1"/>
    <row r="1029818" ht="10.5" customHeight="1"/>
    <row r="1029819" ht="10.5" customHeight="1"/>
    <row r="1029820" ht="10.5" customHeight="1"/>
    <row r="1029821" ht="10.5" customHeight="1"/>
    <row r="1029822" ht="10.5" customHeight="1"/>
    <row r="1029823" ht="10.5" customHeight="1"/>
    <row r="1029824" ht="10.5" customHeight="1"/>
    <row r="1029825" ht="10.5" customHeight="1"/>
    <row r="1029826" ht="10.5" customHeight="1"/>
    <row r="1029827" ht="10.5" customHeight="1"/>
    <row r="1029828" ht="10.5" customHeight="1"/>
    <row r="1029829" ht="10.5" customHeight="1"/>
    <row r="1029830" ht="10.5" customHeight="1"/>
    <row r="1029831" ht="10.5" customHeight="1"/>
    <row r="1029832" ht="10.5" customHeight="1"/>
    <row r="1029833" ht="10.5" customHeight="1"/>
    <row r="1029834" ht="10.5" customHeight="1"/>
    <row r="1029835" ht="10.5" customHeight="1"/>
    <row r="1029836" ht="10.5" customHeight="1"/>
    <row r="1029837" ht="10.5" customHeight="1"/>
    <row r="1029838" ht="10.5" customHeight="1"/>
    <row r="1029839" ht="10.5" customHeight="1"/>
    <row r="1029840" ht="10.5" customHeight="1"/>
    <row r="1029841" ht="10.5" customHeight="1"/>
    <row r="1029842" ht="10.5" customHeight="1"/>
    <row r="1029843" ht="10.5" customHeight="1"/>
    <row r="1029844" ht="10.5" customHeight="1"/>
    <row r="1029845" ht="10.5" customHeight="1"/>
    <row r="1029846" ht="10.5" customHeight="1"/>
    <row r="1029847" ht="10.5" customHeight="1"/>
    <row r="1029848" ht="10.5" customHeight="1"/>
    <row r="1029849" ht="10.5" customHeight="1"/>
    <row r="1029850" ht="10.5" customHeight="1"/>
    <row r="1029851" ht="10.5" customHeight="1"/>
    <row r="1029852" ht="10.5" customHeight="1"/>
    <row r="1029853" ht="10.5" customHeight="1"/>
    <row r="1029854" ht="10.5" customHeight="1"/>
    <row r="1029855" ht="10.5" customHeight="1"/>
    <row r="1029856" ht="10.5" customHeight="1"/>
    <row r="1029857" ht="10.5" customHeight="1"/>
    <row r="1029858" ht="10.5" customHeight="1"/>
    <row r="1029859" ht="10.5" customHeight="1"/>
    <row r="1029860" ht="10.5" customHeight="1"/>
    <row r="1029861" ht="10.5" customHeight="1"/>
    <row r="1029862" ht="10.5" customHeight="1"/>
    <row r="1029863" ht="10.5" customHeight="1"/>
    <row r="1029864" ht="10.5" customHeight="1"/>
    <row r="1029865" ht="10.5" customHeight="1"/>
    <row r="1029866" ht="10.5" customHeight="1"/>
    <row r="1029867" ht="10.5" customHeight="1"/>
    <row r="1029868" ht="10.5" customHeight="1"/>
    <row r="1029869" ht="10.5" customHeight="1"/>
    <row r="1029870" ht="10.5" customHeight="1"/>
    <row r="1029871" ht="10.5" customHeight="1"/>
    <row r="1029872" ht="10.5" customHeight="1"/>
    <row r="1029873" ht="10.5" customHeight="1"/>
    <row r="1029874" ht="10.5" customHeight="1"/>
    <row r="1029875" ht="10.5" customHeight="1"/>
    <row r="1029876" ht="10.5" customHeight="1"/>
    <row r="1029877" ht="10.5" customHeight="1"/>
    <row r="1029878" ht="10.5" customHeight="1"/>
    <row r="1029879" ht="10.5" customHeight="1"/>
    <row r="1029880" ht="10.5" customHeight="1"/>
    <row r="1029881" ht="10.5" customHeight="1"/>
    <row r="1029882" ht="10.5" customHeight="1"/>
    <row r="1029883" ht="10.5" customHeight="1"/>
    <row r="1029884" ht="10.5" customHeight="1"/>
    <row r="1029885" ht="10.5" customHeight="1"/>
    <row r="1029886" ht="10.5" customHeight="1"/>
    <row r="1029887" ht="10.5" customHeight="1"/>
    <row r="1029888" ht="10.5" customHeight="1"/>
    <row r="1029889" ht="10.5" customHeight="1"/>
    <row r="1029890" ht="10.5" customHeight="1"/>
    <row r="1029891" ht="10.5" customHeight="1"/>
    <row r="1029892" ht="10.5" customHeight="1"/>
    <row r="1029893" ht="10.5" customHeight="1"/>
    <row r="1029894" ht="10.5" customHeight="1"/>
    <row r="1029895" ht="10.5" customHeight="1"/>
    <row r="1029896" ht="10.5" customHeight="1"/>
    <row r="1029897" ht="10.5" customHeight="1"/>
    <row r="1029898" ht="10.5" customHeight="1"/>
    <row r="1029899" ht="10.5" customHeight="1"/>
    <row r="1029900" ht="10.5" customHeight="1"/>
    <row r="1029901" ht="10.5" customHeight="1"/>
    <row r="1029902" ht="10.5" customHeight="1"/>
    <row r="1029903" ht="10.5" customHeight="1"/>
    <row r="1029904" ht="10.5" customHeight="1"/>
    <row r="1029905" ht="10.5" customHeight="1"/>
    <row r="1029906" ht="10.5" customHeight="1"/>
    <row r="1029907" ht="10.5" customHeight="1"/>
    <row r="1029908" ht="10.5" customHeight="1"/>
    <row r="1029909" ht="10.5" customHeight="1"/>
    <row r="1029910" ht="10.5" customHeight="1"/>
    <row r="1029911" ht="10.5" customHeight="1"/>
    <row r="1029912" ht="10.5" customHeight="1"/>
    <row r="1029913" ht="10.5" customHeight="1"/>
    <row r="1029914" ht="10.5" customHeight="1"/>
    <row r="1029915" ht="10.5" customHeight="1"/>
    <row r="1029916" ht="10.5" customHeight="1"/>
    <row r="1029917" ht="10.5" customHeight="1"/>
    <row r="1029918" ht="10.5" customHeight="1"/>
    <row r="1029919" ht="10.5" customHeight="1"/>
    <row r="1029920" ht="10.5" customHeight="1"/>
    <row r="1029921" ht="10.5" customHeight="1"/>
    <row r="1029922" ht="10.5" customHeight="1"/>
    <row r="1029923" ht="10.5" customHeight="1"/>
    <row r="1029924" ht="10.5" customHeight="1"/>
    <row r="1029925" ht="10.5" customHeight="1"/>
    <row r="1029926" ht="10.5" customHeight="1"/>
    <row r="1029927" ht="10.5" customHeight="1"/>
    <row r="1029928" ht="10.5" customHeight="1"/>
    <row r="1029929" ht="10.5" customHeight="1"/>
    <row r="1029930" ht="10.5" customHeight="1"/>
    <row r="1029931" ht="10.5" customHeight="1"/>
    <row r="1029932" ht="10.5" customHeight="1"/>
    <row r="1029933" ht="10.5" customHeight="1"/>
    <row r="1029934" ht="10.5" customHeight="1"/>
    <row r="1029935" ht="10.5" customHeight="1"/>
    <row r="1029936" ht="10.5" customHeight="1"/>
    <row r="1029937" ht="10.5" customHeight="1"/>
    <row r="1029938" ht="10.5" customHeight="1"/>
    <row r="1029939" ht="10.5" customHeight="1"/>
    <row r="1029940" ht="10.5" customHeight="1"/>
    <row r="1029941" ht="10.5" customHeight="1"/>
    <row r="1029942" ht="10.5" customHeight="1"/>
    <row r="1029943" ht="10.5" customHeight="1"/>
    <row r="1029944" ht="10.5" customHeight="1"/>
    <row r="1029945" ht="10.5" customHeight="1"/>
    <row r="1029946" ht="10.5" customHeight="1"/>
    <row r="1029947" ht="10.5" customHeight="1"/>
    <row r="1029948" ht="10.5" customHeight="1"/>
    <row r="1029949" ht="10.5" customHeight="1"/>
    <row r="1029950" ht="10.5" customHeight="1"/>
    <row r="1029951" ht="10.5" customHeight="1"/>
    <row r="1029952" ht="10.5" customHeight="1"/>
    <row r="1029953" ht="10.5" customHeight="1"/>
    <row r="1029954" ht="10.5" customHeight="1"/>
    <row r="1029955" ht="10.5" customHeight="1"/>
    <row r="1029956" ht="10.5" customHeight="1"/>
    <row r="1029957" ht="10.5" customHeight="1"/>
    <row r="1029958" ht="10.5" customHeight="1"/>
    <row r="1029959" ht="10.5" customHeight="1"/>
    <row r="1029960" ht="10.5" customHeight="1"/>
    <row r="1029961" ht="10.5" customHeight="1"/>
    <row r="1029962" ht="10.5" customHeight="1"/>
    <row r="1029963" ht="10.5" customHeight="1"/>
    <row r="1029964" ht="10.5" customHeight="1"/>
    <row r="1029965" ht="10.5" customHeight="1"/>
    <row r="1029966" ht="10.5" customHeight="1"/>
    <row r="1029967" ht="10.5" customHeight="1"/>
    <row r="1029968" ht="10.5" customHeight="1"/>
    <row r="1029969" ht="10.5" customHeight="1"/>
    <row r="1029970" ht="10.5" customHeight="1"/>
    <row r="1029971" ht="10.5" customHeight="1"/>
    <row r="1029972" ht="10.5" customHeight="1"/>
    <row r="1029973" ht="10.5" customHeight="1"/>
    <row r="1029974" ht="10.5" customHeight="1"/>
    <row r="1029975" ht="10.5" customHeight="1"/>
    <row r="1029976" ht="10.5" customHeight="1"/>
    <row r="1029977" ht="10.5" customHeight="1"/>
    <row r="1029978" ht="10.5" customHeight="1"/>
    <row r="1029979" ht="10.5" customHeight="1"/>
    <row r="1029980" ht="10.5" customHeight="1"/>
    <row r="1029981" ht="10.5" customHeight="1"/>
    <row r="1029982" ht="10.5" customHeight="1"/>
    <row r="1029983" ht="10.5" customHeight="1"/>
    <row r="1029984" ht="10.5" customHeight="1"/>
    <row r="1029985" ht="10.5" customHeight="1"/>
    <row r="1029986" ht="10.5" customHeight="1"/>
    <row r="1029987" ht="10.5" customHeight="1"/>
    <row r="1029988" ht="10.5" customHeight="1"/>
    <row r="1029989" ht="10.5" customHeight="1"/>
    <row r="1029990" ht="10.5" customHeight="1"/>
    <row r="1029991" ht="10.5" customHeight="1"/>
    <row r="1029992" ht="10.5" customHeight="1"/>
    <row r="1029993" ht="10.5" customHeight="1"/>
    <row r="1029994" ht="10.5" customHeight="1"/>
    <row r="1029995" ht="10.5" customHeight="1"/>
    <row r="1029996" ht="10.5" customHeight="1"/>
    <row r="1029997" ht="10.5" customHeight="1"/>
    <row r="1029998" ht="10.5" customHeight="1"/>
    <row r="1029999" ht="10.5" customHeight="1"/>
    <row r="1030000" ht="10.5" customHeight="1"/>
    <row r="1030001" ht="10.5" customHeight="1"/>
    <row r="1030002" ht="10.5" customHeight="1"/>
    <row r="1030003" ht="10.5" customHeight="1"/>
    <row r="1030004" ht="10.5" customHeight="1"/>
    <row r="1030005" ht="10.5" customHeight="1"/>
    <row r="1030006" ht="10.5" customHeight="1"/>
    <row r="1030007" ht="10.5" customHeight="1"/>
    <row r="1030008" ht="10.5" customHeight="1"/>
    <row r="1030009" ht="10.5" customHeight="1"/>
    <row r="1030010" ht="10.5" customHeight="1"/>
    <row r="1030011" ht="10.5" customHeight="1"/>
    <row r="1030012" ht="10.5" customHeight="1"/>
    <row r="1030013" ht="10.5" customHeight="1"/>
    <row r="1030014" ht="10.5" customHeight="1"/>
    <row r="1030015" ht="10.5" customHeight="1"/>
    <row r="1030016" ht="10.5" customHeight="1"/>
    <row r="1030017" ht="10.5" customHeight="1"/>
    <row r="1030018" ht="10.5" customHeight="1"/>
    <row r="1030019" ht="10.5" customHeight="1"/>
    <row r="1030020" ht="10.5" customHeight="1"/>
    <row r="1030021" ht="10.5" customHeight="1"/>
    <row r="1030022" ht="10.5" customHeight="1"/>
    <row r="1030023" ht="10.5" customHeight="1"/>
    <row r="1030024" ht="10.5" customHeight="1"/>
    <row r="1030025" ht="10.5" customHeight="1"/>
    <row r="1030026" ht="10.5" customHeight="1"/>
    <row r="1030027" ht="10.5" customHeight="1"/>
    <row r="1030028" ht="10.5" customHeight="1"/>
    <row r="1030029" ht="10.5" customHeight="1"/>
    <row r="1030030" ht="10.5" customHeight="1"/>
    <row r="1030031" ht="10.5" customHeight="1"/>
    <row r="1030032" ht="10.5" customHeight="1"/>
    <row r="1030033" ht="10.5" customHeight="1"/>
    <row r="1030034" ht="10.5" customHeight="1"/>
    <row r="1030035" ht="10.5" customHeight="1"/>
    <row r="1030036" ht="10.5" customHeight="1"/>
    <row r="1030037" ht="10.5" customHeight="1"/>
    <row r="1030038" ht="10.5" customHeight="1"/>
    <row r="1030039" ht="10.5" customHeight="1"/>
    <row r="1030040" ht="10.5" customHeight="1"/>
    <row r="1030041" ht="10.5" customHeight="1"/>
    <row r="1030042" ht="10.5" customHeight="1"/>
    <row r="1030043" ht="10.5" customHeight="1"/>
    <row r="1030044" ht="10.5" customHeight="1"/>
    <row r="1030045" ht="10.5" customHeight="1"/>
    <row r="1030046" ht="10.5" customHeight="1"/>
    <row r="1030047" ht="10.5" customHeight="1"/>
    <row r="1030048" ht="10.5" customHeight="1"/>
    <row r="1030049" ht="10.5" customHeight="1"/>
    <row r="1030050" ht="10.5" customHeight="1"/>
    <row r="1030051" ht="10.5" customHeight="1"/>
    <row r="1030052" ht="10.5" customHeight="1"/>
    <row r="1030053" ht="10.5" customHeight="1"/>
    <row r="1030054" ht="10.5" customHeight="1"/>
    <row r="1030055" ht="10.5" customHeight="1"/>
    <row r="1030056" ht="10.5" customHeight="1"/>
    <row r="1030057" ht="10.5" customHeight="1"/>
    <row r="1030058" ht="10.5" customHeight="1"/>
    <row r="1030059" ht="10.5" customHeight="1"/>
    <row r="1030060" ht="10.5" customHeight="1"/>
    <row r="1030061" ht="10.5" customHeight="1"/>
    <row r="1030062" ht="10.5" customHeight="1"/>
    <row r="1030063" ht="10.5" customHeight="1"/>
    <row r="1030064" ht="10.5" customHeight="1"/>
    <row r="1030065" ht="10.5" customHeight="1"/>
    <row r="1030066" ht="10.5" customHeight="1"/>
    <row r="1030067" ht="10.5" customHeight="1"/>
    <row r="1030068" ht="10.5" customHeight="1"/>
    <row r="1030069" ht="10.5" customHeight="1"/>
    <row r="1030070" ht="10.5" customHeight="1"/>
    <row r="1030071" ht="10.5" customHeight="1"/>
    <row r="1030072" ht="10.5" customHeight="1"/>
    <row r="1030073" ht="10.5" customHeight="1"/>
    <row r="1030074" ht="10.5" customHeight="1"/>
    <row r="1030075" ht="10.5" customHeight="1"/>
    <row r="1030076" ht="10.5" customHeight="1"/>
    <row r="1030077" ht="10.5" customHeight="1"/>
    <row r="1030078" ht="10.5" customHeight="1"/>
    <row r="1030079" ht="10.5" customHeight="1"/>
    <row r="1030080" ht="10.5" customHeight="1"/>
    <row r="1030081" ht="10.5" customHeight="1"/>
    <row r="1030082" ht="10.5" customHeight="1"/>
    <row r="1030083" ht="10.5" customHeight="1"/>
    <row r="1030084" ht="10.5" customHeight="1"/>
    <row r="1030085" ht="10.5" customHeight="1"/>
    <row r="1030086" ht="10.5" customHeight="1"/>
    <row r="1030087" ht="10.5" customHeight="1"/>
    <row r="1030088" ht="10.5" customHeight="1"/>
    <row r="1030089" ht="10.5" customHeight="1"/>
    <row r="1030090" ht="10.5" customHeight="1"/>
    <row r="1030091" ht="10.5" customHeight="1"/>
    <row r="1030092" ht="10.5" customHeight="1"/>
    <row r="1030093" ht="10.5" customHeight="1"/>
    <row r="1030094" ht="10.5" customHeight="1"/>
    <row r="1030095" ht="10.5" customHeight="1"/>
    <row r="1030096" ht="10.5" customHeight="1"/>
    <row r="1030097" ht="10.5" customHeight="1"/>
    <row r="1030098" ht="10.5" customHeight="1"/>
    <row r="1030099" ht="10.5" customHeight="1"/>
    <row r="1030100" ht="10.5" customHeight="1"/>
    <row r="1030101" ht="10.5" customHeight="1"/>
    <row r="1030102" ht="10.5" customHeight="1"/>
    <row r="1030103" ht="10.5" customHeight="1"/>
    <row r="1030104" ht="10.5" customHeight="1"/>
    <row r="1030105" ht="10.5" customHeight="1"/>
    <row r="1030106" ht="10.5" customHeight="1"/>
    <row r="1030107" ht="10.5" customHeight="1"/>
    <row r="1030108" ht="10.5" customHeight="1"/>
    <row r="1030109" ht="10.5" customHeight="1"/>
    <row r="1030110" ht="10.5" customHeight="1"/>
    <row r="1030111" ht="10.5" customHeight="1"/>
    <row r="1030112" ht="10.5" customHeight="1"/>
    <row r="1030113" ht="10.5" customHeight="1"/>
    <row r="1030114" ht="10.5" customHeight="1"/>
    <row r="1030115" ht="10.5" customHeight="1"/>
    <row r="1030116" ht="10.5" customHeight="1"/>
    <row r="1030117" ht="10.5" customHeight="1"/>
    <row r="1030118" ht="10.5" customHeight="1"/>
    <row r="1030119" ht="10.5" customHeight="1"/>
    <row r="1030120" ht="10.5" customHeight="1"/>
    <row r="1030121" ht="10.5" customHeight="1"/>
    <row r="1030122" ht="10.5" customHeight="1"/>
    <row r="1030123" ht="10.5" customHeight="1"/>
    <row r="1030124" ht="10.5" customHeight="1"/>
    <row r="1030125" ht="10.5" customHeight="1"/>
    <row r="1030126" ht="10.5" customHeight="1"/>
    <row r="1030127" ht="10.5" customHeight="1"/>
    <row r="1030128" ht="10.5" customHeight="1"/>
    <row r="1030129" ht="10.5" customHeight="1"/>
    <row r="1030130" ht="10.5" customHeight="1"/>
    <row r="1030131" ht="10.5" customHeight="1"/>
    <row r="1030132" ht="10.5" customHeight="1"/>
    <row r="1030133" ht="10.5" customHeight="1"/>
    <row r="1030134" ht="10.5" customHeight="1"/>
    <row r="1030135" ht="10.5" customHeight="1"/>
    <row r="1030136" ht="10.5" customHeight="1"/>
    <row r="1030137" ht="10.5" customHeight="1"/>
    <row r="1030138" ht="10.5" customHeight="1"/>
    <row r="1030139" ht="10.5" customHeight="1"/>
    <row r="1030140" ht="10.5" customHeight="1"/>
    <row r="1030141" ht="10.5" customHeight="1"/>
    <row r="1030142" ht="10.5" customHeight="1"/>
    <row r="1030143" ht="10.5" customHeight="1"/>
    <row r="1030144" ht="10.5" customHeight="1"/>
    <row r="1030145" ht="10.5" customHeight="1"/>
    <row r="1030146" ht="10.5" customHeight="1"/>
    <row r="1030147" ht="10.5" customHeight="1"/>
    <row r="1030148" ht="10.5" customHeight="1"/>
    <row r="1030149" ht="10.5" customHeight="1"/>
    <row r="1030150" ht="10.5" customHeight="1"/>
    <row r="1030151" ht="10.5" customHeight="1"/>
    <row r="1030152" ht="10.5" customHeight="1"/>
    <row r="1030153" ht="10.5" customHeight="1"/>
    <row r="1030154" ht="10.5" customHeight="1"/>
    <row r="1030155" ht="10.5" customHeight="1"/>
    <row r="1030156" ht="10.5" customHeight="1"/>
    <row r="1030157" ht="10.5" customHeight="1"/>
    <row r="1030158" ht="10.5" customHeight="1"/>
    <row r="1030159" ht="10.5" customHeight="1"/>
    <row r="1030160" ht="10.5" customHeight="1"/>
    <row r="1030161" ht="10.5" customHeight="1"/>
    <row r="1030162" ht="10.5" customHeight="1"/>
    <row r="1030163" ht="10.5" customHeight="1"/>
    <row r="1030164" ht="10.5" customHeight="1"/>
    <row r="1030165" ht="10.5" customHeight="1"/>
    <row r="1030166" ht="10.5" customHeight="1"/>
    <row r="1030167" ht="10.5" customHeight="1"/>
    <row r="1030168" ht="10.5" customHeight="1"/>
    <row r="1030169" ht="10.5" customHeight="1"/>
    <row r="1030170" ht="10.5" customHeight="1"/>
    <row r="1030171" ht="10.5" customHeight="1"/>
    <row r="1030172" ht="10.5" customHeight="1"/>
    <row r="1030173" ht="10.5" customHeight="1"/>
    <row r="1030174" ht="10.5" customHeight="1"/>
    <row r="1030175" ht="10.5" customHeight="1"/>
    <row r="1030176" ht="10.5" customHeight="1"/>
    <row r="1030177" ht="10.5" customHeight="1"/>
    <row r="1030178" ht="10.5" customHeight="1"/>
    <row r="1030179" ht="10.5" customHeight="1"/>
    <row r="1030180" ht="10.5" customHeight="1"/>
    <row r="1030181" ht="10.5" customHeight="1"/>
    <row r="1030182" ht="10.5" customHeight="1"/>
    <row r="1030183" ht="10.5" customHeight="1"/>
    <row r="1030184" ht="10.5" customHeight="1"/>
    <row r="1030185" ht="10.5" customHeight="1"/>
    <row r="1030186" ht="10.5" customHeight="1"/>
    <row r="1030187" ht="10.5" customHeight="1"/>
    <row r="1030188" ht="10.5" customHeight="1"/>
    <row r="1030189" ht="10.5" customHeight="1"/>
    <row r="1030190" ht="10.5" customHeight="1"/>
    <row r="1030191" ht="10.5" customHeight="1"/>
    <row r="1030192" ht="10.5" customHeight="1"/>
    <row r="1030193" ht="10.5" customHeight="1"/>
    <row r="1030194" ht="10.5" customHeight="1"/>
    <row r="1030195" ht="10.5" customHeight="1"/>
    <row r="1030196" ht="10.5" customHeight="1"/>
    <row r="1030197" ht="10.5" customHeight="1"/>
    <row r="1030198" ht="10.5" customHeight="1"/>
    <row r="1030199" ht="10.5" customHeight="1"/>
    <row r="1030200" ht="10.5" customHeight="1"/>
    <row r="1030201" ht="10.5" customHeight="1"/>
    <row r="1030202" ht="10.5" customHeight="1"/>
    <row r="1030203" ht="10.5" customHeight="1"/>
    <row r="1030204" ht="10.5" customHeight="1"/>
    <row r="1030205" ht="10.5" customHeight="1"/>
    <row r="1030206" ht="10.5" customHeight="1"/>
    <row r="1030207" ht="10.5" customHeight="1"/>
    <row r="1030208" ht="10.5" customHeight="1"/>
    <row r="1030209" ht="10.5" customHeight="1"/>
    <row r="1030210" ht="10.5" customHeight="1"/>
    <row r="1030211" ht="10.5" customHeight="1"/>
    <row r="1030212" ht="10.5" customHeight="1"/>
    <row r="1030213" ht="10.5" customHeight="1"/>
    <row r="1030214" ht="10.5" customHeight="1"/>
    <row r="1030215" ht="10.5" customHeight="1"/>
    <row r="1030216" ht="10.5" customHeight="1"/>
    <row r="1030217" ht="10.5" customHeight="1"/>
    <row r="1030218" ht="10.5" customHeight="1"/>
    <row r="1030219" ht="10.5" customHeight="1"/>
    <row r="1030220" ht="10.5" customHeight="1"/>
    <row r="1030221" ht="10.5" customHeight="1"/>
    <row r="1030222" ht="10.5" customHeight="1"/>
    <row r="1030223" ht="10.5" customHeight="1"/>
    <row r="1030224" ht="10.5" customHeight="1"/>
    <row r="1030225" ht="10.5" customHeight="1"/>
    <row r="1030226" ht="10.5" customHeight="1"/>
    <row r="1030227" ht="10.5" customHeight="1"/>
    <row r="1030228" ht="10.5" customHeight="1"/>
    <row r="1030229" ht="10.5" customHeight="1"/>
    <row r="1030230" ht="10.5" customHeight="1"/>
    <row r="1030231" ht="10.5" customHeight="1"/>
    <row r="1030232" ht="10.5" customHeight="1"/>
    <row r="1030233" ht="10.5" customHeight="1"/>
    <row r="1030234" ht="10.5" customHeight="1"/>
    <row r="1030235" ht="10.5" customHeight="1"/>
    <row r="1030236" ht="10.5" customHeight="1"/>
    <row r="1030237" ht="10.5" customHeight="1"/>
    <row r="1030238" ht="10.5" customHeight="1"/>
    <row r="1030239" ht="10.5" customHeight="1"/>
    <row r="1030240" ht="10.5" customHeight="1"/>
    <row r="1030241" ht="10.5" customHeight="1"/>
    <row r="1030242" ht="10.5" customHeight="1"/>
    <row r="1030243" ht="10.5" customHeight="1"/>
    <row r="1030244" ht="10.5" customHeight="1"/>
    <row r="1030245" ht="10.5" customHeight="1"/>
    <row r="1030246" ht="10.5" customHeight="1"/>
    <row r="1030247" ht="10.5" customHeight="1"/>
    <row r="1030248" ht="10.5" customHeight="1"/>
    <row r="1030249" ht="10.5" customHeight="1"/>
    <row r="1030250" ht="10.5" customHeight="1"/>
    <row r="1030251" ht="10.5" customHeight="1"/>
    <row r="1030252" ht="10.5" customHeight="1"/>
    <row r="1030253" ht="10.5" customHeight="1"/>
    <row r="1030254" ht="10.5" customHeight="1"/>
    <row r="1030255" ht="10.5" customHeight="1"/>
    <row r="1030256" ht="10.5" customHeight="1"/>
    <row r="1030257" ht="10.5" customHeight="1"/>
    <row r="1030258" ht="10.5" customHeight="1"/>
    <row r="1030259" ht="10.5" customHeight="1"/>
    <row r="1030260" ht="10.5" customHeight="1"/>
    <row r="1030261" ht="10.5" customHeight="1"/>
    <row r="1030262" ht="10.5" customHeight="1"/>
    <row r="1030263" ht="10.5" customHeight="1"/>
    <row r="1030264" ht="10.5" customHeight="1"/>
    <row r="1030265" ht="10.5" customHeight="1"/>
    <row r="1030266" ht="10.5" customHeight="1"/>
    <row r="1030267" ht="10.5" customHeight="1"/>
    <row r="1030268" ht="10.5" customHeight="1"/>
    <row r="1030269" ht="10.5" customHeight="1"/>
    <row r="1030270" ht="10.5" customHeight="1"/>
    <row r="1030271" ht="10.5" customHeight="1"/>
    <row r="1030272" ht="10.5" customHeight="1"/>
    <row r="1030273" ht="10.5" customHeight="1"/>
    <row r="1030274" ht="10.5" customHeight="1"/>
    <row r="1030275" ht="10.5" customHeight="1"/>
    <row r="1030276" ht="10.5" customHeight="1"/>
    <row r="1030277" ht="10.5" customHeight="1"/>
    <row r="1030278" ht="10.5" customHeight="1"/>
    <row r="1030279" ht="10.5" customHeight="1"/>
    <row r="1030280" ht="10.5" customHeight="1"/>
    <row r="1030281" ht="10.5" customHeight="1"/>
    <row r="1030282" ht="10.5" customHeight="1"/>
    <row r="1030283" ht="10.5" customHeight="1"/>
    <row r="1030284" ht="10.5" customHeight="1"/>
    <row r="1030285" ht="10.5" customHeight="1"/>
    <row r="1030286" ht="10.5" customHeight="1"/>
    <row r="1030287" ht="10.5" customHeight="1"/>
    <row r="1030288" ht="10.5" customHeight="1"/>
    <row r="1030289" ht="10.5" customHeight="1"/>
    <row r="1030290" ht="10.5" customHeight="1"/>
    <row r="1030291" ht="10.5" customHeight="1"/>
    <row r="1030292" ht="10.5" customHeight="1"/>
    <row r="1030293" ht="10.5" customHeight="1"/>
    <row r="1030294" ht="10.5" customHeight="1"/>
    <row r="1030295" ht="10.5" customHeight="1"/>
    <row r="1030296" ht="10.5" customHeight="1"/>
    <row r="1030297" ht="10.5" customHeight="1"/>
    <row r="1030298" ht="10.5" customHeight="1"/>
    <row r="1030299" ht="10.5" customHeight="1"/>
    <row r="1030300" ht="10.5" customHeight="1"/>
    <row r="1030301" ht="10.5" customHeight="1"/>
    <row r="1030302" ht="10.5" customHeight="1"/>
    <row r="1030303" ht="10.5" customHeight="1"/>
    <row r="1030304" ht="10.5" customHeight="1"/>
    <row r="1030305" ht="10.5" customHeight="1"/>
    <row r="1030306" ht="10.5" customHeight="1"/>
    <row r="1030307" ht="10.5" customHeight="1"/>
    <row r="1030308" ht="10.5" customHeight="1"/>
    <row r="1030309" ht="10.5" customHeight="1"/>
    <row r="1030310" ht="10.5" customHeight="1"/>
    <row r="1030311" ht="10.5" customHeight="1"/>
    <row r="1030312" ht="10.5" customHeight="1"/>
    <row r="1030313" ht="10.5" customHeight="1"/>
    <row r="1030314" ht="10.5" customHeight="1"/>
    <row r="1030315" ht="10.5" customHeight="1"/>
    <row r="1030316" ht="10.5" customHeight="1"/>
    <row r="1030317" ht="10.5" customHeight="1"/>
    <row r="1030318" ht="10.5" customHeight="1"/>
    <row r="1030319" ht="10.5" customHeight="1"/>
    <row r="1030320" ht="10.5" customHeight="1"/>
    <row r="1030321" ht="10.5" customHeight="1"/>
    <row r="1030322" ht="10.5" customHeight="1"/>
    <row r="1030323" ht="10.5" customHeight="1"/>
    <row r="1030324" ht="10.5" customHeight="1"/>
    <row r="1030325" ht="10.5" customHeight="1"/>
    <row r="1030326" ht="10.5" customHeight="1"/>
    <row r="1030327" ht="10.5" customHeight="1"/>
    <row r="1030328" ht="10.5" customHeight="1"/>
    <row r="1030329" ht="10.5" customHeight="1"/>
    <row r="1030330" ht="10.5" customHeight="1"/>
    <row r="1030331" ht="10.5" customHeight="1"/>
    <row r="1030332" ht="10.5" customHeight="1"/>
    <row r="1030333" ht="10.5" customHeight="1"/>
    <row r="1030334" ht="10.5" customHeight="1"/>
    <row r="1030335" ht="10.5" customHeight="1"/>
    <row r="1030336" ht="10.5" customHeight="1"/>
    <row r="1030337" ht="10.5" customHeight="1"/>
    <row r="1030338" ht="10.5" customHeight="1"/>
    <row r="1030339" ht="10.5" customHeight="1"/>
    <row r="1030340" ht="10.5" customHeight="1"/>
    <row r="1030341" ht="10.5" customHeight="1"/>
    <row r="1030342" ht="10.5" customHeight="1"/>
    <row r="1030343" ht="10.5" customHeight="1"/>
    <row r="1030344" ht="10.5" customHeight="1"/>
    <row r="1030345" ht="10.5" customHeight="1"/>
    <row r="1030346" ht="10.5" customHeight="1"/>
    <row r="1030347" ht="10.5" customHeight="1"/>
    <row r="1030348" ht="10.5" customHeight="1"/>
    <row r="1030349" ht="10.5" customHeight="1"/>
    <row r="1030350" ht="10.5" customHeight="1"/>
    <row r="1030351" ht="10.5" customHeight="1"/>
    <row r="1030352" ht="10.5" customHeight="1"/>
    <row r="1030353" ht="10.5" customHeight="1"/>
    <row r="1030354" ht="10.5" customHeight="1"/>
    <row r="1030355" ht="10.5" customHeight="1"/>
    <row r="1030356" ht="10.5" customHeight="1"/>
    <row r="1030357" ht="10.5" customHeight="1"/>
    <row r="1030358" ht="10.5" customHeight="1"/>
    <row r="1030359" ht="10.5" customHeight="1"/>
    <row r="1030360" ht="10.5" customHeight="1"/>
    <row r="1030361" ht="10.5" customHeight="1"/>
    <row r="1030362" ht="10.5" customHeight="1"/>
    <row r="1030363" ht="10.5" customHeight="1"/>
    <row r="1030364" ht="10.5" customHeight="1"/>
    <row r="1030365" ht="10.5" customHeight="1"/>
    <row r="1030366" ht="10.5" customHeight="1"/>
    <row r="1030367" ht="10.5" customHeight="1"/>
    <row r="1030368" ht="10.5" customHeight="1"/>
    <row r="1030369" ht="10.5" customHeight="1"/>
    <row r="1030370" ht="10.5" customHeight="1"/>
    <row r="1030371" ht="10.5" customHeight="1"/>
    <row r="1030372" ht="10.5" customHeight="1"/>
    <row r="1030373" ht="10.5" customHeight="1"/>
    <row r="1030374" ht="10.5" customHeight="1"/>
    <row r="1030375" ht="10.5" customHeight="1"/>
    <row r="1030376" ht="10.5" customHeight="1"/>
    <row r="1030377" ht="10.5" customHeight="1"/>
    <row r="1030378" ht="10.5" customHeight="1"/>
    <row r="1030379" ht="10.5" customHeight="1"/>
    <row r="1030380" ht="10.5" customHeight="1"/>
    <row r="1030381" ht="10.5" customHeight="1"/>
    <row r="1030382" ht="10.5" customHeight="1"/>
    <row r="1030383" ht="10.5" customHeight="1"/>
    <row r="1030384" ht="10.5" customHeight="1"/>
    <row r="1030385" ht="10.5" customHeight="1"/>
    <row r="1030386" ht="10.5" customHeight="1"/>
    <row r="1030387" ht="10.5" customHeight="1"/>
    <row r="1030388" ht="10.5" customHeight="1"/>
    <row r="1030389" ht="10.5" customHeight="1"/>
    <row r="1030390" ht="10.5" customHeight="1"/>
    <row r="1030391" ht="10.5" customHeight="1"/>
    <row r="1030392" ht="10.5" customHeight="1"/>
    <row r="1030393" ht="10.5" customHeight="1"/>
    <row r="1030394" ht="10.5" customHeight="1"/>
    <row r="1030395" ht="10.5" customHeight="1"/>
    <row r="1030396" ht="10.5" customHeight="1"/>
    <row r="1030397" ht="10.5" customHeight="1"/>
    <row r="1030398" ht="10.5" customHeight="1"/>
    <row r="1030399" ht="10.5" customHeight="1"/>
    <row r="1030400" ht="10.5" customHeight="1"/>
    <row r="1030401" ht="10.5" customHeight="1"/>
    <row r="1030402" ht="10.5" customHeight="1"/>
    <row r="1030403" ht="10.5" customHeight="1"/>
    <row r="1030404" ht="10.5" customHeight="1"/>
    <row r="1030405" ht="10.5" customHeight="1"/>
    <row r="1030406" ht="10.5" customHeight="1"/>
    <row r="1030407" ht="10.5" customHeight="1"/>
    <row r="1030408" ht="10.5" customHeight="1"/>
    <row r="1030409" ht="10.5" customHeight="1"/>
    <row r="1030410" ht="10.5" customHeight="1"/>
    <row r="1030411" ht="10.5" customHeight="1"/>
    <row r="1030412" ht="10.5" customHeight="1"/>
    <row r="1030413" ht="10.5" customHeight="1"/>
    <row r="1030414" ht="10.5" customHeight="1"/>
    <row r="1030415" ht="10.5" customHeight="1"/>
    <row r="1030416" ht="10.5" customHeight="1"/>
    <row r="1030417" ht="10.5" customHeight="1"/>
    <row r="1030418" ht="10.5" customHeight="1"/>
    <row r="1030419" ht="10.5" customHeight="1"/>
    <row r="1030420" ht="10.5" customHeight="1"/>
    <row r="1030421" ht="10.5" customHeight="1"/>
    <row r="1030422" ht="10.5" customHeight="1"/>
    <row r="1030423" ht="10.5" customHeight="1"/>
    <row r="1030424" ht="10.5" customHeight="1"/>
    <row r="1030425" ht="10.5" customHeight="1"/>
    <row r="1030426" ht="10.5" customHeight="1"/>
    <row r="1030427" ht="10.5" customHeight="1"/>
    <row r="1030428" ht="10.5" customHeight="1"/>
    <row r="1030429" ht="10.5" customHeight="1"/>
    <row r="1030430" ht="10.5" customHeight="1"/>
    <row r="1030431" ht="10.5" customHeight="1"/>
    <row r="1030432" ht="10.5" customHeight="1"/>
    <row r="1030433" ht="10.5" customHeight="1"/>
    <row r="1030434" ht="10.5" customHeight="1"/>
    <row r="1030435" ht="10.5" customHeight="1"/>
    <row r="1030436" ht="10.5" customHeight="1"/>
    <row r="1030437" ht="10.5" customHeight="1"/>
    <row r="1030438" ht="10.5" customHeight="1"/>
    <row r="1030439" ht="10.5" customHeight="1"/>
    <row r="1030440" ht="10.5" customHeight="1"/>
    <row r="1030441" ht="10.5" customHeight="1"/>
    <row r="1030442" ht="10.5" customHeight="1"/>
    <row r="1030443" ht="10.5" customHeight="1"/>
    <row r="1030444" ht="10.5" customHeight="1"/>
    <row r="1030445" ht="10.5" customHeight="1"/>
    <row r="1030446" ht="10.5" customHeight="1"/>
    <row r="1030447" ht="10.5" customHeight="1"/>
    <row r="1030448" ht="10.5" customHeight="1"/>
    <row r="1030449" ht="10.5" customHeight="1"/>
    <row r="1030450" ht="10.5" customHeight="1"/>
    <row r="1030451" ht="10.5" customHeight="1"/>
    <row r="1030452" ht="10.5" customHeight="1"/>
    <row r="1030453" ht="10.5" customHeight="1"/>
    <row r="1030454" ht="10.5" customHeight="1"/>
    <row r="1030455" ht="10.5" customHeight="1"/>
    <row r="1030456" ht="10.5" customHeight="1"/>
    <row r="1030457" ht="10.5" customHeight="1"/>
    <row r="1030458" ht="10.5" customHeight="1"/>
    <row r="1030459" ht="10.5" customHeight="1"/>
    <row r="1030460" ht="10.5" customHeight="1"/>
    <row r="1030461" ht="10.5" customHeight="1"/>
    <row r="1030462" ht="10.5" customHeight="1"/>
    <row r="1030463" ht="10.5" customHeight="1"/>
    <row r="1030464" ht="10.5" customHeight="1"/>
    <row r="1030465" ht="10.5" customHeight="1"/>
    <row r="1030466" ht="10.5" customHeight="1"/>
    <row r="1030467" ht="10.5" customHeight="1"/>
    <row r="1030468" ht="10.5" customHeight="1"/>
    <row r="1030469" ht="10.5" customHeight="1"/>
    <row r="1030470" ht="10.5" customHeight="1"/>
    <row r="1030471" ht="10.5" customHeight="1"/>
    <row r="1030472" ht="10.5" customHeight="1"/>
    <row r="1030473" ht="10.5" customHeight="1"/>
    <row r="1030474" ht="10.5" customHeight="1"/>
    <row r="1030475" ht="10.5" customHeight="1"/>
    <row r="1030476" ht="10.5" customHeight="1"/>
    <row r="1030477" ht="10.5" customHeight="1"/>
    <row r="1030478" ht="10.5" customHeight="1"/>
    <row r="1030479" ht="10.5" customHeight="1"/>
    <row r="1030480" ht="10.5" customHeight="1"/>
    <row r="1030481" ht="10.5" customHeight="1"/>
    <row r="1030482" ht="10.5" customHeight="1"/>
    <row r="1030483" ht="10.5" customHeight="1"/>
    <row r="1030484" ht="10.5" customHeight="1"/>
    <row r="1030485" ht="10.5" customHeight="1"/>
    <row r="1030486" ht="10.5" customHeight="1"/>
    <row r="1030487" ht="10.5" customHeight="1"/>
    <row r="1030488" ht="10.5" customHeight="1"/>
    <row r="1030489" ht="10.5" customHeight="1"/>
    <row r="1030490" ht="10.5" customHeight="1"/>
    <row r="1030491" ht="10.5" customHeight="1"/>
    <row r="1030492" ht="10.5" customHeight="1"/>
    <row r="1030493" ht="10.5" customHeight="1"/>
    <row r="1030494" ht="10.5" customHeight="1"/>
    <row r="1030495" ht="10.5" customHeight="1"/>
    <row r="1030496" ht="10.5" customHeight="1"/>
    <row r="1030497" ht="10.5" customHeight="1"/>
    <row r="1030498" ht="10.5" customHeight="1"/>
    <row r="1030499" ht="10.5" customHeight="1"/>
    <row r="1030500" ht="10.5" customHeight="1"/>
    <row r="1030501" ht="10.5" customHeight="1"/>
    <row r="1030502" ht="10.5" customHeight="1"/>
    <row r="1030503" ht="10.5" customHeight="1"/>
    <row r="1030504" ht="10.5" customHeight="1"/>
    <row r="1030505" ht="10.5" customHeight="1"/>
    <row r="1030506" ht="10.5" customHeight="1"/>
    <row r="1030507" ht="10.5" customHeight="1"/>
    <row r="1030508" ht="10.5" customHeight="1"/>
    <row r="1030509" ht="10.5" customHeight="1"/>
    <row r="1030510" ht="10.5" customHeight="1"/>
    <row r="1030511" ht="10.5" customHeight="1"/>
    <row r="1030512" ht="10.5" customHeight="1"/>
    <row r="1030513" ht="10.5" customHeight="1"/>
    <row r="1030514" ht="10.5" customHeight="1"/>
    <row r="1030515" ht="10.5" customHeight="1"/>
    <row r="1030516" ht="10.5" customHeight="1"/>
    <row r="1030517" ht="10.5" customHeight="1"/>
    <row r="1030518" ht="10.5" customHeight="1"/>
    <row r="1030519" ht="10.5" customHeight="1"/>
    <row r="1030520" ht="10.5" customHeight="1"/>
    <row r="1030521" ht="10.5" customHeight="1"/>
    <row r="1030522" ht="10.5" customHeight="1"/>
    <row r="1030523" ht="10.5" customHeight="1"/>
    <row r="1030524" ht="10.5" customHeight="1"/>
    <row r="1030525" ht="10.5" customHeight="1"/>
    <row r="1030526" ht="10.5" customHeight="1"/>
    <row r="1030527" ht="10.5" customHeight="1"/>
    <row r="1030528" ht="10.5" customHeight="1"/>
    <row r="1030529" ht="10.5" customHeight="1"/>
    <row r="1030530" ht="10.5" customHeight="1"/>
    <row r="1030531" ht="10.5" customHeight="1"/>
    <row r="1030532" ht="10.5" customHeight="1"/>
    <row r="1030533" ht="10.5" customHeight="1"/>
    <row r="1030534" ht="10.5" customHeight="1"/>
    <row r="1030535" ht="10.5" customHeight="1"/>
    <row r="1030536" ht="10.5" customHeight="1"/>
    <row r="1030537" ht="10.5" customHeight="1"/>
    <row r="1030538" ht="10.5" customHeight="1"/>
    <row r="1030539" ht="10.5" customHeight="1"/>
    <row r="1030540" ht="10.5" customHeight="1"/>
    <row r="1030541" ht="10.5" customHeight="1"/>
    <row r="1030542" ht="10.5" customHeight="1"/>
    <row r="1030543" ht="10.5" customHeight="1"/>
    <row r="1030544" ht="10.5" customHeight="1"/>
    <row r="1030545" ht="10.5" customHeight="1"/>
    <row r="1030546" ht="10.5" customHeight="1"/>
    <row r="1030547" ht="10.5" customHeight="1"/>
    <row r="1030548" ht="10.5" customHeight="1"/>
    <row r="1030549" ht="10.5" customHeight="1"/>
    <row r="1030550" ht="10.5" customHeight="1"/>
    <row r="1030551" ht="10.5" customHeight="1"/>
    <row r="1030552" ht="10.5" customHeight="1"/>
    <row r="1030553" ht="10.5" customHeight="1"/>
    <row r="1030554" ht="10.5" customHeight="1"/>
    <row r="1030555" ht="10.5" customHeight="1"/>
    <row r="1030556" ht="10.5" customHeight="1"/>
    <row r="1030557" ht="10.5" customHeight="1"/>
    <row r="1030558" ht="10.5" customHeight="1"/>
    <row r="1030559" ht="10.5" customHeight="1"/>
    <row r="1030560" ht="10.5" customHeight="1"/>
    <row r="1030561" ht="10.5" customHeight="1"/>
    <row r="1030562" ht="10.5" customHeight="1"/>
    <row r="1030563" ht="10.5" customHeight="1"/>
    <row r="1030564" ht="10.5" customHeight="1"/>
    <row r="1030565" ht="10.5" customHeight="1"/>
    <row r="1030566" ht="10.5" customHeight="1"/>
    <row r="1030567" ht="10.5" customHeight="1"/>
    <row r="1030568" ht="10.5" customHeight="1"/>
    <row r="1030569" ht="10.5" customHeight="1"/>
    <row r="1030570" ht="10.5" customHeight="1"/>
    <row r="1030571" ht="10.5" customHeight="1"/>
    <row r="1030572" ht="10.5" customHeight="1"/>
    <row r="1030573" ht="10.5" customHeight="1"/>
    <row r="1030574" ht="10.5" customHeight="1"/>
    <row r="1030575" ht="10.5" customHeight="1"/>
    <row r="1030576" ht="10.5" customHeight="1"/>
    <row r="1030577" ht="10.5" customHeight="1"/>
    <row r="1030578" ht="10.5" customHeight="1"/>
    <row r="1030579" ht="10.5" customHeight="1"/>
    <row r="1030580" ht="10.5" customHeight="1"/>
    <row r="1030581" ht="10.5" customHeight="1"/>
    <row r="1030582" ht="10.5" customHeight="1"/>
    <row r="1030583" ht="10.5" customHeight="1"/>
    <row r="1030584" ht="10.5" customHeight="1"/>
    <row r="1030585" ht="10.5" customHeight="1"/>
    <row r="1030586" ht="10.5" customHeight="1"/>
    <row r="1030587" ht="10.5" customHeight="1"/>
    <row r="1030588" ht="10.5" customHeight="1"/>
    <row r="1030589" ht="10.5" customHeight="1"/>
    <row r="1030590" ht="10.5" customHeight="1"/>
    <row r="1030591" ht="10.5" customHeight="1"/>
    <row r="1030592" ht="10.5" customHeight="1"/>
    <row r="1030593" ht="10.5" customHeight="1"/>
    <row r="1030594" ht="10.5" customHeight="1"/>
    <row r="1030595" ht="10.5" customHeight="1"/>
    <row r="1030596" ht="10.5" customHeight="1"/>
    <row r="1030597" ht="10.5" customHeight="1"/>
    <row r="1030598" ht="10.5" customHeight="1"/>
    <row r="1030599" ht="10.5" customHeight="1"/>
    <row r="1030600" ht="10.5" customHeight="1"/>
    <row r="1030601" ht="10.5" customHeight="1"/>
    <row r="1030602" ht="10.5" customHeight="1"/>
    <row r="1030603" ht="10.5" customHeight="1"/>
    <row r="1030604" ht="10.5" customHeight="1"/>
    <row r="1030605" ht="10.5" customHeight="1"/>
    <row r="1030606" ht="10.5" customHeight="1"/>
    <row r="1030607" ht="10.5" customHeight="1"/>
    <row r="1030608" ht="10.5" customHeight="1"/>
    <row r="1030609" ht="10.5" customHeight="1"/>
    <row r="1030610" ht="10.5" customHeight="1"/>
    <row r="1030611" ht="10.5" customHeight="1"/>
    <row r="1030612" ht="10.5" customHeight="1"/>
    <row r="1030613" ht="10.5" customHeight="1"/>
    <row r="1030614" ht="10.5" customHeight="1"/>
    <row r="1030615" ht="10.5" customHeight="1"/>
    <row r="1030616" ht="10.5" customHeight="1"/>
    <row r="1030617" ht="10.5" customHeight="1"/>
    <row r="1030618" ht="10.5" customHeight="1"/>
    <row r="1030619" ht="10.5" customHeight="1"/>
    <row r="1030620" ht="10.5" customHeight="1"/>
    <row r="1030621" ht="10.5" customHeight="1"/>
    <row r="1030622" ht="10.5" customHeight="1"/>
    <row r="1030623" ht="10.5" customHeight="1"/>
    <row r="1030624" ht="10.5" customHeight="1"/>
    <row r="1030625" ht="10.5" customHeight="1"/>
    <row r="1030626" ht="10.5" customHeight="1"/>
    <row r="1030627" ht="10.5" customHeight="1"/>
    <row r="1030628" ht="10.5" customHeight="1"/>
    <row r="1030629" ht="10.5" customHeight="1"/>
    <row r="1030630" ht="10.5" customHeight="1"/>
    <row r="1030631" ht="10.5" customHeight="1"/>
    <row r="1030632" ht="10.5" customHeight="1"/>
    <row r="1030633" ht="10.5" customHeight="1"/>
    <row r="1030634" ht="10.5" customHeight="1"/>
    <row r="1030635" ht="10.5" customHeight="1"/>
    <row r="1030636" ht="10.5" customHeight="1"/>
    <row r="1030637" ht="10.5" customHeight="1"/>
    <row r="1030638" ht="10.5" customHeight="1"/>
    <row r="1030639" ht="10.5" customHeight="1"/>
    <row r="1030640" ht="10.5" customHeight="1"/>
    <row r="1030641" ht="10.5" customHeight="1"/>
    <row r="1030642" ht="10.5" customHeight="1"/>
    <row r="1030643" ht="10.5" customHeight="1"/>
    <row r="1030644" ht="10.5" customHeight="1"/>
    <row r="1030645" ht="10.5" customHeight="1"/>
    <row r="1030646" ht="10.5" customHeight="1"/>
    <row r="1030647" ht="10.5" customHeight="1"/>
    <row r="1030648" ht="10.5" customHeight="1"/>
    <row r="1030649" ht="10.5" customHeight="1"/>
    <row r="1030650" ht="10.5" customHeight="1"/>
    <row r="1030651" ht="10.5" customHeight="1"/>
    <row r="1030652" ht="10.5" customHeight="1"/>
    <row r="1030653" ht="10.5" customHeight="1"/>
    <row r="1030654" ht="10.5" customHeight="1"/>
    <row r="1030655" ht="10.5" customHeight="1"/>
    <row r="1030656" ht="10.5" customHeight="1"/>
    <row r="1030657" ht="10.5" customHeight="1"/>
    <row r="1030658" ht="10.5" customHeight="1"/>
    <row r="1030659" ht="10.5" customHeight="1"/>
    <row r="1030660" ht="10.5" customHeight="1"/>
    <row r="1030661" ht="10.5" customHeight="1"/>
    <row r="1030662" ht="10.5" customHeight="1"/>
    <row r="1030663" ht="10.5" customHeight="1"/>
    <row r="1030664" ht="10.5" customHeight="1"/>
    <row r="1030665" ht="10.5" customHeight="1"/>
    <row r="1030666" ht="10.5" customHeight="1"/>
    <row r="1030667" ht="10.5" customHeight="1"/>
    <row r="1030668" ht="10.5" customHeight="1"/>
    <row r="1030669" ht="10.5" customHeight="1"/>
    <row r="1030670" ht="10.5" customHeight="1"/>
    <row r="1030671" ht="10.5" customHeight="1"/>
    <row r="1030672" ht="10.5" customHeight="1"/>
    <row r="1030673" ht="10.5" customHeight="1"/>
    <row r="1030674" ht="10.5" customHeight="1"/>
    <row r="1030675" ht="10.5" customHeight="1"/>
    <row r="1030676" ht="10.5" customHeight="1"/>
    <row r="1030677" ht="10.5" customHeight="1"/>
    <row r="1030678" ht="10.5" customHeight="1"/>
    <row r="1030679" ht="10.5" customHeight="1"/>
    <row r="1030680" ht="10.5" customHeight="1"/>
    <row r="1030681" ht="10.5" customHeight="1"/>
    <row r="1030682" ht="10.5" customHeight="1"/>
    <row r="1030683" ht="10.5" customHeight="1"/>
    <row r="1030684" ht="10.5" customHeight="1"/>
    <row r="1030685" ht="10.5" customHeight="1"/>
    <row r="1030686" ht="10.5" customHeight="1"/>
    <row r="1030687" ht="10.5" customHeight="1"/>
    <row r="1030688" ht="10.5" customHeight="1"/>
    <row r="1030689" ht="10.5" customHeight="1"/>
    <row r="1030690" ht="10.5" customHeight="1"/>
    <row r="1030691" ht="10.5" customHeight="1"/>
    <row r="1030692" ht="10.5" customHeight="1"/>
    <row r="1030693" ht="10.5" customHeight="1"/>
    <row r="1030694" ht="10.5" customHeight="1"/>
    <row r="1030695" ht="10.5" customHeight="1"/>
    <row r="1030696" ht="10.5" customHeight="1"/>
    <row r="1030697" ht="10.5" customHeight="1"/>
    <row r="1030698" ht="10.5" customHeight="1"/>
    <row r="1030699" ht="10.5" customHeight="1"/>
    <row r="1030700" ht="10.5" customHeight="1"/>
    <row r="1030701" ht="10.5" customHeight="1"/>
    <row r="1030702" ht="10.5" customHeight="1"/>
    <row r="1030703" ht="10.5" customHeight="1"/>
    <row r="1030704" ht="10.5" customHeight="1"/>
    <row r="1030705" ht="10.5" customHeight="1"/>
    <row r="1030706" ht="10.5" customHeight="1"/>
    <row r="1030707" ht="10.5" customHeight="1"/>
    <row r="1030708" ht="10.5" customHeight="1"/>
    <row r="1030709" ht="10.5" customHeight="1"/>
    <row r="1030710" ht="10.5" customHeight="1"/>
    <row r="1030711" ht="10.5" customHeight="1"/>
    <row r="1030712" ht="10.5" customHeight="1"/>
    <row r="1030713" ht="10.5" customHeight="1"/>
    <row r="1030714" ht="10.5" customHeight="1"/>
    <row r="1030715" ht="10.5" customHeight="1"/>
    <row r="1030716" ht="10.5" customHeight="1"/>
    <row r="1030717" ht="10.5" customHeight="1"/>
    <row r="1030718" ht="10.5" customHeight="1"/>
    <row r="1030719" ht="10.5" customHeight="1"/>
    <row r="1030720" ht="10.5" customHeight="1"/>
    <row r="1030721" ht="10.5" customHeight="1"/>
    <row r="1030722" ht="10.5" customHeight="1"/>
    <row r="1030723" ht="10.5" customHeight="1"/>
    <row r="1030724" ht="10.5" customHeight="1"/>
    <row r="1030725" ht="10.5" customHeight="1"/>
    <row r="1030726" ht="10.5" customHeight="1"/>
    <row r="1030727" ht="10.5" customHeight="1"/>
    <row r="1030728" ht="10.5" customHeight="1"/>
    <row r="1030729" ht="10.5" customHeight="1"/>
    <row r="1030730" ht="10.5" customHeight="1"/>
    <row r="1030731" ht="10.5" customHeight="1"/>
    <row r="1030732" ht="10.5" customHeight="1"/>
    <row r="1030733" ht="10.5" customHeight="1"/>
    <row r="1030734" ht="10.5" customHeight="1"/>
    <row r="1030735" ht="10.5" customHeight="1"/>
    <row r="1030736" ht="10.5" customHeight="1"/>
    <row r="1030737" ht="10.5" customHeight="1"/>
    <row r="1030738" ht="10.5" customHeight="1"/>
    <row r="1030739" ht="10.5" customHeight="1"/>
    <row r="1030740" ht="10.5" customHeight="1"/>
    <row r="1030741" ht="10.5" customHeight="1"/>
    <row r="1030742" ht="10.5" customHeight="1"/>
    <row r="1030743" ht="10.5" customHeight="1"/>
    <row r="1030744" ht="10.5" customHeight="1"/>
    <row r="1030745" ht="10.5" customHeight="1"/>
    <row r="1030746" ht="10.5" customHeight="1"/>
    <row r="1030747" ht="10.5" customHeight="1"/>
    <row r="1030748" ht="10.5" customHeight="1"/>
    <row r="1030749" ht="10.5" customHeight="1"/>
    <row r="1030750" ht="10.5" customHeight="1"/>
    <row r="1030751" ht="10.5" customHeight="1"/>
    <row r="1030752" ht="10.5" customHeight="1"/>
    <row r="1030753" ht="10.5" customHeight="1"/>
    <row r="1030754" ht="10.5" customHeight="1"/>
    <row r="1030755" ht="10.5" customHeight="1"/>
    <row r="1030756" ht="10.5" customHeight="1"/>
    <row r="1030757" ht="10.5" customHeight="1"/>
    <row r="1030758" ht="10.5" customHeight="1"/>
    <row r="1030759" ht="10.5" customHeight="1"/>
    <row r="1030760" ht="10.5" customHeight="1"/>
    <row r="1030761" ht="10.5" customHeight="1"/>
    <row r="1030762" ht="10.5" customHeight="1"/>
    <row r="1030763" ht="10.5" customHeight="1"/>
    <row r="1030764" ht="10.5" customHeight="1"/>
    <row r="1030765" ht="10.5" customHeight="1"/>
    <row r="1030766" ht="10.5" customHeight="1"/>
    <row r="1030767" ht="10.5" customHeight="1"/>
    <row r="1030768" ht="10.5" customHeight="1"/>
    <row r="1030769" ht="10.5" customHeight="1"/>
    <row r="1030770" ht="10.5" customHeight="1"/>
    <row r="1030771" ht="10.5" customHeight="1"/>
    <row r="1030772" ht="10.5" customHeight="1"/>
    <row r="1030773" ht="10.5" customHeight="1"/>
    <row r="1030774" ht="10.5" customHeight="1"/>
    <row r="1030775" ht="10.5" customHeight="1"/>
    <row r="1030776" ht="10.5" customHeight="1"/>
    <row r="1030777" ht="10.5" customHeight="1"/>
    <row r="1030778" ht="10.5" customHeight="1"/>
    <row r="1030779" ht="10.5" customHeight="1"/>
    <row r="1030780" ht="10.5" customHeight="1"/>
    <row r="1030781" ht="10.5" customHeight="1"/>
    <row r="1030782" ht="10.5" customHeight="1"/>
    <row r="1030783" ht="10.5" customHeight="1"/>
    <row r="1030784" ht="10.5" customHeight="1"/>
    <row r="1030785" ht="10.5" customHeight="1"/>
    <row r="1030786" ht="10.5" customHeight="1"/>
    <row r="1030787" ht="10.5" customHeight="1"/>
    <row r="1030788" ht="10.5" customHeight="1"/>
    <row r="1030789" ht="10.5" customHeight="1"/>
    <row r="1030790" ht="10.5" customHeight="1"/>
    <row r="1030791" ht="10.5" customHeight="1"/>
    <row r="1030792" ht="10.5" customHeight="1"/>
    <row r="1030793" ht="10.5" customHeight="1"/>
    <row r="1030794" ht="10.5" customHeight="1"/>
    <row r="1030795" ht="10.5" customHeight="1"/>
    <row r="1030796" ht="10.5" customHeight="1"/>
    <row r="1030797" ht="10.5" customHeight="1"/>
    <row r="1030798" ht="10.5" customHeight="1"/>
    <row r="1030799" ht="10.5" customHeight="1"/>
    <row r="1030800" ht="10.5" customHeight="1"/>
    <row r="1030801" ht="10.5" customHeight="1"/>
    <row r="1030802" ht="10.5" customHeight="1"/>
    <row r="1030803" ht="10.5" customHeight="1"/>
    <row r="1030804" ht="10.5" customHeight="1"/>
    <row r="1030805" ht="10.5" customHeight="1"/>
    <row r="1030806" ht="10.5" customHeight="1"/>
    <row r="1030807" ht="10.5" customHeight="1"/>
    <row r="1030808" ht="10.5" customHeight="1"/>
    <row r="1030809" ht="10.5" customHeight="1"/>
    <row r="1030810" ht="10.5" customHeight="1"/>
    <row r="1030811" ht="10.5" customHeight="1"/>
    <row r="1030812" ht="10.5" customHeight="1"/>
    <row r="1030813" ht="10.5" customHeight="1"/>
    <row r="1030814" ht="10.5" customHeight="1"/>
    <row r="1030815" ht="10.5" customHeight="1"/>
    <row r="1030816" ht="10.5" customHeight="1"/>
    <row r="1030817" ht="10.5" customHeight="1"/>
    <row r="1030818" ht="10.5" customHeight="1"/>
    <row r="1030819" ht="10.5" customHeight="1"/>
    <row r="1030820" ht="10.5" customHeight="1"/>
    <row r="1030821" ht="10.5" customHeight="1"/>
    <row r="1030822" ht="10.5" customHeight="1"/>
    <row r="1030823" ht="10.5" customHeight="1"/>
    <row r="1030824" ht="10.5" customHeight="1"/>
    <row r="1030825" ht="10.5" customHeight="1"/>
    <row r="1030826" ht="10.5" customHeight="1"/>
    <row r="1030827" ht="10.5" customHeight="1"/>
    <row r="1030828" ht="10.5" customHeight="1"/>
    <row r="1030829" ht="10.5" customHeight="1"/>
    <row r="1030830" ht="10.5" customHeight="1"/>
    <row r="1030831" ht="10.5" customHeight="1"/>
    <row r="1030832" ht="10.5" customHeight="1"/>
    <row r="1030833" ht="10.5" customHeight="1"/>
    <row r="1030834" ht="10.5" customHeight="1"/>
    <row r="1030835" ht="10.5" customHeight="1"/>
    <row r="1030836" ht="10.5" customHeight="1"/>
    <row r="1030837" ht="10.5" customHeight="1"/>
    <row r="1030838" ht="10.5" customHeight="1"/>
    <row r="1030839" ht="10.5" customHeight="1"/>
    <row r="1030840" ht="10.5" customHeight="1"/>
    <row r="1030841" ht="10.5" customHeight="1"/>
    <row r="1030842" ht="10.5" customHeight="1"/>
    <row r="1030843" ht="10.5" customHeight="1"/>
    <row r="1030844" ht="10.5" customHeight="1"/>
    <row r="1030845" ht="10.5" customHeight="1"/>
    <row r="1030846" ht="10.5" customHeight="1"/>
    <row r="1030847" ht="10.5" customHeight="1"/>
    <row r="1030848" ht="10.5" customHeight="1"/>
    <row r="1030849" ht="10.5" customHeight="1"/>
    <row r="1030850" ht="10.5" customHeight="1"/>
    <row r="1030851" ht="10.5" customHeight="1"/>
    <row r="1030852" ht="10.5" customHeight="1"/>
    <row r="1030853" ht="10.5" customHeight="1"/>
    <row r="1030854" ht="10.5" customHeight="1"/>
    <row r="1030855" ht="10.5" customHeight="1"/>
    <row r="1030856" ht="10.5" customHeight="1"/>
    <row r="1030857" ht="10.5" customHeight="1"/>
    <row r="1030858" ht="10.5" customHeight="1"/>
    <row r="1030859" ht="10.5" customHeight="1"/>
    <row r="1030860" ht="10.5" customHeight="1"/>
    <row r="1030861" ht="10.5" customHeight="1"/>
    <row r="1030862" ht="10.5" customHeight="1"/>
    <row r="1030863" ht="10.5" customHeight="1"/>
    <row r="1030864" ht="10.5" customHeight="1"/>
    <row r="1030865" ht="10.5" customHeight="1"/>
    <row r="1030866" ht="10.5" customHeight="1"/>
    <row r="1030867" ht="10.5" customHeight="1"/>
    <row r="1030868" ht="10.5" customHeight="1"/>
    <row r="1030869" ht="10.5" customHeight="1"/>
    <row r="1030870" ht="10.5" customHeight="1"/>
    <row r="1030871" ht="10.5" customHeight="1"/>
    <row r="1030872" ht="10.5" customHeight="1"/>
    <row r="1030873" ht="10.5" customHeight="1"/>
    <row r="1030874" ht="10.5" customHeight="1"/>
    <row r="1030875" ht="10.5" customHeight="1"/>
    <row r="1030876" ht="10.5" customHeight="1"/>
    <row r="1030877" ht="10.5" customHeight="1"/>
    <row r="1030878" ht="10.5" customHeight="1"/>
    <row r="1030879" ht="10.5" customHeight="1"/>
    <row r="1030880" ht="10.5" customHeight="1"/>
    <row r="1030881" ht="10.5" customHeight="1"/>
    <row r="1030882" ht="10.5" customHeight="1"/>
    <row r="1030883" ht="10.5" customHeight="1"/>
    <row r="1030884" ht="10.5" customHeight="1"/>
    <row r="1030885" ht="10.5" customHeight="1"/>
    <row r="1030886" ht="10.5" customHeight="1"/>
    <row r="1030887" ht="10.5" customHeight="1"/>
    <row r="1030888" ht="10.5" customHeight="1"/>
    <row r="1030889" ht="10.5" customHeight="1"/>
    <row r="1030890" ht="10.5" customHeight="1"/>
    <row r="1030891" ht="10.5" customHeight="1"/>
    <row r="1030892" ht="10.5" customHeight="1"/>
    <row r="1030893" ht="10.5" customHeight="1"/>
    <row r="1030894" ht="10.5" customHeight="1"/>
    <row r="1030895" ht="10.5" customHeight="1"/>
    <row r="1030896" ht="10.5" customHeight="1"/>
    <row r="1030897" ht="10.5" customHeight="1"/>
    <row r="1030898" ht="10.5" customHeight="1"/>
    <row r="1030899" ht="10.5" customHeight="1"/>
    <row r="1030900" ht="10.5" customHeight="1"/>
    <row r="1030901" ht="10.5" customHeight="1"/>
    <row r="1030902" ht="10.5" customHeight="1"/>
    <row r="1030903" ht="10.5" customHeight="1"/>
    <row r="1030904" ht="10.5" customHeight="1"/>
    <row r="1030905" ht="10.5" customHeight="1"/>
    <row r="1030906" ht="10.5" customHeight="1"/>
    <row r="1030907" ht="10.5" customHeight="1"/>
    <row r="1030908" ht="10.5" customHeight="1"/>
    <row r="1030909" ht="10.5" customHeight="1"/>
    <row r="1030910" ht="10.5" customHeight="1"/>
    <row r="1030911" ht="10.5" customHeight="1"/>
    <row r="1030912" ht="10.5" customHeight="1"/>
    <row r="1030913" ht="10.5" customHeight="1"/>
    <row r="1030914" ht="10.5" customHeight="1"/>
    <row r="1030915" ht="10.5" customHeight="1"/>
    <row r="1030916" ht="10.5" customHeight="1"/>
    <row r="1030917" ht="10.5" customHeight="1"/>
    <row r="1030918" ht="10.5" customHeight="1"/>
    <row r="1030919" ht="10.5" customHeight="1"/>
    <row r="1030920" ht="10.5" customHeight="1"/>
    <row r="1030921" ht="10.5" customHeight="1"/>
    <row r="1030922" ht="10.5" customHeight="1"/>
    <row r="1030923" ht="10.5" customHeight="1"/>
    <row r="1030924" ht="10.5" customHeight="1"/>
    <row r="1030925" ht="10.5" customHeight="1"/>
    <row r="1030926" ht="10.5" customHeight="1"/>
    <row r="1030927" ht="10.5" customHeight="1"/>
    <row r="1030928" ht="10.5" customHeight="1"/>
    <row r="1030929" ht="10.5" customHeight="1"/>
    <row r="1030930" ht="10.5" customHeight="1"/>
    <row r="1030931" ht="10.5" customHeight="1"/>
    <row r="1030932" ht="10.5" customHeight="1"/>
    <row r="1030933" ht="10.5" customHeight="1"/>
    <row r="1030934" ht="10.5" customHeight="1"/>
    <row r="1030935" ht="10.5" customHeight="1"/>
    <row r="1030936" ht="10.5" customHeight="1"/>
    <row r="1030937" ht="10.5" customHeight="1"/>
    <row r="1030938" ht="10.5" customHeight="1"/>
    <row r="1030939" ht="10.5" customHeight="1"/>
    <row r="1030940" ht="10.5" customHeight="1"/>
    <row r="1030941" ht="10.5" customHeight="1"/>
    <row r="1030942" ht="10.5" customHeight="1"/>
    <row r="1030943" ht="10.5" customHeight="1"/>
    <row r="1030944" ht="10.5" customHeight="1"/>
    <row r="1030945" ht="10.5" customHeight="1"/>
    <row r="1030946" ht="10.5" customHeight="1"/>
    <row r="1030947" ht="10.5" customHeight="1"/>
    <row r="1030948" ht="10.5" customHeight="1"/>
    <row r="1030949" ht="10.5" customHeight="1"/>
    <row r="1030950" ht="10.5" customHeight="1"/>
    <row r="1030951" ht="10.5" customHeight="1"/>
    <row r="1030952" ht="10.5" customHeight="1"/>
    <row r="1030953" ht="10.5" customHeight="1"/>
    <row r="1030954" ht="10.5" customHeight="1"/>
    <row r="1030955" ht="10.5" customHeight="1"/>
    <row r="1030956" ht="10.5" customHeight="1"/>
    <row r="1030957" ht="10.5" customHeight="1"/>
    <row r="1030958" ht="10.5" customHeight="1"/>
    <row r="1030959" ht="10.5" customHeight="1"/>
    <row r="1030960" ht="10.5" customHeight="1"/>
    <row r="1030961" ht="10.5" customHeight="1"/>
    <row r="1030962" ht="10.5" customHeight="1"/>
    <row r="1030963" ht="10.5" customHeight="1"/>
    <row r="1030964" ht="10.5" customHeight="1"/>
    <row r="1030965" ht="10.5" customHeight="1"/>
    <row r="1030966" ht="10.5" customHeight="1"/>
    <row r="1030967" ht="10.5" customHeight="1"/>
    <row r="1030968" ht="10.5" customHeight="1"/>
    <row r="1030969" ht="10.5" customHeight="1"/>
    <row r="1030970" ht="10.5" customHeight="1"/>
    <row r="1030971" ht="10.5" customHeight="1"/>
    <row r="1030972" ht="10.5" customHeight="1"/>
    <row r="1030973" ht="10.5" customHeight="1"/>
    <row r="1030974" ht="10.5" customHeight="1"/>
    <row r="1030975" ht="10.5" customHeight="1"/>
    <row r="1030976" ht="10.5" customHeight="1"/>
    <row r="1030977" ht="10.5" customHeight="1"/>
    <row r="1030978" ht="10.5" customHeight="1"/>
    <row r="1030979" ht="10.5" customHeight="1"/>
    <row r="1030980" ht="10.5" customHeight="1"/>
    <row r="1030981" ht="10.5" customHeight="1"/>
    <row r="1030982" ht="10.5" customHeight="1"/>
    <row r="1030983" ht="10.5" customHeight="1"/>
    <row r="1030984" ht="10.5" customHeight="1"/>
    <row r="1030985" ht="10.5" customHeight="1"/>
    <row r="1030986" ht="10.5" customHeight="1"/>
    <row r="1030987" ht="10.5" customHeight="1"/>
    <row r="1030988" ht="10.5" customHeight="1"/>
    <row r="1030989" ht="10.5" customHeight="1"/>
    <row r="1030990" ht="10.5" customHeight="1"/>
    <row r="1030991" ht="10.5" customHeight="1"/>
    <row r="1030992" ht="10.5" customHeight="1"/>
    <row r="1030993" ht="10.5" customHeight="1"/>
    <row r="1030994" ht="10.5" customHeight="1"/>
    <row r="1030995" ht="10.5" customHeight="1"/>
    <row r="1030996" ht="10.5" customHeight="1"/>
    <row r="1030997" ht="10.5" customHeight="1"/>
    <row r="1030998" ht="10.5" customHeight="1"/>
    <row r="1030999" ht="10.5" customHeight="1"/>
    <row r="1031000" ht="10.5" customHeight="1"/>
    <row r="1031001" ht="10.5" customHeight="1"/>
    <row r="1031002" ht="10.5" customHeight="1"/>
    <row r="1031003" ht="10.5" customHeight="1"/>
    <row r="1031004" ht="10.5" customHeight="1"/>
    <row r="1031005" ht="10.5" customHeight="1"/>
    <row r="1031006" ht="10.5" customHeight="1"/>
    <row r="1031007" ht="10.5" customHeight="1"/>
    <row r="1031008" ht="10.5" customHeight="1"/>
    <row r="1031009" ht="10.5" customHeight="1"/>
    <row r="1031010" ht="10.5" customHeight="1"/>
    <row r="1031011" ht="10.5" customHeight="1"/>
    <row r="1031012" ht="10.5" customHeight="1"/>
    <row r="1031013" ht="10.5" customHeight="1"/>
    <row r="1031014" ht="10.5" customHeight="1"/>
    <row r="1031015" ht="10.5" customHeight="1"/>
    <row r="1031016" ht="10.5" customHeight="1"/>
    <row r="1031017" ht="10.5" customHeight="1"/>
    <row r="1031018" ht="10.5" customHeight="1"/>
    <row r="1031019" ht="10.5" customHeight="1"/>
    <row r="1031020" ht="10.5" customHeight="1"/>
    <row r="1031021" ht="10.5" customHeight="1"/>
    <row r="1031022" ht="10.5" customHeight="1"/>
    <row r="1031023" ht="10.5" customHeight="1"/>
    <row r="1031024" ht="10.5" customHeight="1"/>
    <row r="1031025" ht="10.5" customHeight="1"/>
    <row r="1031026" ht="10.5" customHeight="1"/>
    <row r="1031027" ht="10.5" customHeight="1"/>
    <row r="1031028" ht="10.5" customHeight="1"/>
    <row r="1031029" ht="10.5" customHeight="1"/>
    <row r="1031030" ht="10.5" customHeight="1"/>
    <row r="1031031" ht="10.5" customHeight="1"/>
    <row r="1031032" ht="10.5" customHeight="1"/>
    <row r="1031033" ht="10.5" customHeight="1"/>
    <row r="1031034" ht="10.5" customHeight="1"/>
    <row r="1031035" ht="10.5" customHeight="1"/>
    <row r="1031036" ht="10.5" customHeight="1"/>
    <row r="1031037" ht="10.5" customHeight="1"/>
    <row r="1031038" ht="10.5" customHeight="1"/>
    <row r="1031039" ht="10.5" customHeight="1"/>
    <row r="1031040" ht="10.5" customHeight="1"/>
    <row r="1031041" ht="10.5" customHeight="1"/>
    <row r="1031042" ht="10.5" customHeight="1"/>
    <row r="1031043" ht="10.5" customHeight="1"/>
    <row r="1031044" ht="10.5" customHeight="1"/>
    <row r="1031045" ht="10.5" customHeight="1"/>
    <row r="1031046" ht="10.5" customHeight="1"/>
    <row r="1031047" ht="10.5" customHeight="1"/>
    <row r="1031048" ht="10.5" customHeight="1"/>
    <row r="1031049" ht="10.5" customHeight="1"/>
    <row r="1031050" ht="10.5" customHeight="1"/>
    <row r="1031051" ht="10.5" customHeight="1"/>
    <row r="1031052" ht="10.5" customHeight="1"/>
    <row r="1031053" ht="10.5" customHeight="1"/>
    <row r="1031054" ht="10.5" customHeight="1"/>
    <row r="1031055" ht="10.5" customHeight="1"/>
    <row r="1031056" ht="10.5" customHeight="1"/>
    <row r="1031057" ht="10.5" customHeight="1"/>
    <row r="1031058" ht="10.5" customHeight="1"/>
    <row r="1031059" ht="10.5" customHeight="1"/>
    <row r="1031060" ht="10.5" customHeight="1"/>
    <row r="1031061" ht="10.5" customHeight="1"/>
    <row r="1031062" ht="10.5" customHeight="1"/>
    <row r="1031063" ht="10.5" customHeight="1"/>
    <row r="1031064" ht="10.5" customHeight="1"/>
    <row r="1031065" ht="10.5" customHeight="1"/>
    <row r="1031066" ht="10.5" customHeight="1"/>
    <row r="1031067" ht="10.5" customHeight="1"/>
    <row r="1031068" ht="10.5" customHeight="1"/>
    <row r="1031069" ht="10.5" customHeight="1"/>
    <row r="1031070" ht="10.5" customHeight="1"/>
    <row r="1031071" ht="10.5" customHeight="1"/>
    <row r="1031072" ht="10.5" customHeight="1"/>
    <row r="1031073" ht="10.5" customHeight="1"/>
    <row r="1031074" ht="10.5" customHeight="1"/>
    <row r="1031075" ht="10.5" customHeight="1"/>
    <row r="1031076" ht="10.5" customHeight="1"/>
    <row r="1031077" ht="10.5" customHeight="1"/>
    <row r="1031078" ht="10.5" customHeight="1"/>
    <row r="1031079" ht="10.5" customHeight="1"/>
    <row r="1031080" ht="10.5" customHeight="1"/>
    <row r="1031081" ht="10.5" customHeight="1"/>
    <row r="1031082" ht="10.5" customHeight="1"/>
    <row r="1031083" ht="10.5" customHeight="1"/>
    <row r="1031084" ht="10.5" customHeight="1"/>
    <row r="1031085" ht="10.5" customHeight="1"/>
    <row r="1031086" ht="10.5" customHeight="1"/>
    <row r="1031087" ht="10.5" customHeight="1"/>
    <row r="1031088" ht="10.5" customHeight="1"/>
    <row r="1031089" ht="10.5" customHeight="1"/>
    <row r="1031090" ht="10.5" customHeight="1"/>
    <row r="1031091" ht="10.5" customHeight="1"/>
    <row r="1031092" ht="10.5" customHeight="1"/>
    <row r="1031093" ht="10.5" customHeight="1"/>
    <row r="1031094" ht="10.5" customHeight="1"/>
    <row r="1031095" ht="10.5" customHeight="1"/>
    <row r="1031096" ht="10.5" customHeight="1"/>
    <row r="1031097" ht="10.5" customHeight="1"/>
    <row r="1031098" ht="10.5" customHeight="1"/>
    <row r="1031099" ht="10.5" customHeight="1"/>
    <row r="1031100" ht="10.5" customHeight="1"/>
    <row r="1031101" ht="10.5" customHeight="1"/>
    <row r="1031102" ht="10.5" customHeight="1"/>
    <row r="1031103" ht="10.5" customHeight="1"/>
    <row r="1031104" ht="10.5" customHeight="1"/>
    <row r="1031105" ht="10.5" customHeight="1"/>
    <row r="1031106" ht="10.5" customHeight="1"/>
    <row r="1031107" ht="10.5" customHeight="1"/>
    <row r="1031108" ht="10.5" customHeight="1"/>
    <row r="1031109" ht="10.5" customHeight="1"/>
    <row r="1031110" ht="10.5" customHeight="1"/>
    <row r="1031111" ht="10.5" customHeight="1"/>
    <row r="1031112" ht="10.5" customHeight="1"/>
    <row r="1031113" ht="10.5" customHeight="1"/>
    <row r="1031114" ht="10.5" customHeight="1"/>
    <row r="1031115" ht="10.5" customHeight="1"/>
    <row r="1031116" ht="10.5" customHeight="1"/>
    <row r="1031117" ht="10.5" customHeight="1"/>
    <row r="1031118" ht="10.5" customHeight="1"/>
    <row r="1031119" ht="10.5" customHeight="1"/>
    <row r="1031120" ht="10.5" customHeight="1"/>
    <row r="1031121" ht="10.5" customHeight="1"/>
    <row r="1031122" ht="10.5" customHeight="1"/>
    <row r="1031123" ht="10.5" customHeight="1"/>
    <row r="1031124" ht="10.5" customHeight="1"/>
    <row r="1031125" ht="10.5" customHeight="1"/>
    <row r="1031126" ht="10.5" customHeight="1"/>
    <row r="1031127" ht="10.5" customHeight="1"/>
    <row r="1031128" ht="10.5" customHeight="1"/>
    <row r="1031129" ht="10.5" customHeight="1"/>
    <row r="1031130" ht="10.5" customHeight="1"/>
    <row r="1031131" ht="10.5" customHeight="1"/>
    <row r="1031132" ht="10.5" customHeight="1"/>
    <row r="1031133" ht="10.5" customHeight="1"/>
    <row r="1031134" ht="10.5" customHeight="1"/>
    <row r="1031135" ht="10.5" customHeight="1"/>
    <row r="1031136" ht="10.5" customHeight="1"/>
    <row r="1031137" ht="10.5" customHeight="1"/>
    <row r="1031138" ht="10.5" customHeight="1"/>
    <row r="1031139" ht="10.5" customHeight="1"/>
    <row r="1031140" ht="10.5" customHeight="1"/>
    <row r="1031141" ht="10.5" customHeight="1"/>
    <row r="1031142" ht="10.5" customHeight="1"/>
    <row r="1031143" ht="10.5" customHeight="1"/>
    <row r="1031144" ht="10.5" customHeight="1"/>
    <row r="1031145" ht="10.5" customHeight="1"/>
    <row r="1031146" ht="10.5" customHeight="1"/>
    <row r="1031147" ht="10.5" customHeight="1"/>
    <row r="1031148" ht="10.5" customHeight="1"/>
    <row r="1031149" ht="10.5" customHeight="1"/>
    <row r="1031150" ht="10.5" customHeight="1"/>
    <row r="1031151" ht="10.5" customHeight="1"/>
    <row r="1031152" ht="10.5" customHeight="1"/>
    <row r="1031153" ht="10.5" customHeight="1"/>
    <row r="1031154" ht="10.5" customHeight="1"/>
    <row r="1031155" ht="10.5" customHeight="1"/>
    <row r="1031156" ht="10.5" customHeight="1"/>
    <row r="1031157" ht="10.5" customHeight="1"/>
    <row r="1031158" ht="10.5" customHeight="1"/>
    <row r="1031159" ht="10.5" customHeight="1"/>
    <row r="1031160" ht="10.5" customHeight="1"/>
    <row r="1031161" ht="10.5" customHeight="1"/>
    <row r="1031162" ht="10.5" customHeight="1"/>
    <row r="1031163" ht="10.5" customHeight="1"/>
    <row r="1031164" ht="10.5" customHeight="1"/>
    <row r="1031165" ht="10.5" customHeight="1"/>
    <row r="1031166" ht="10.5" customHeight="1"/>
    <row r="1031167" ht="10.5" customHeight="1"/>
    <row r="1031168" ht="10.5" customHeight="1"/>
    <row r="1031169" ht="10.5" customHeight="1"/>
    <row r="1031170" ht="10.5" customHeight="1"/>
    <row r="1031171" ht="10.5" customHeight="1"/>
    <row r="1031172" ht="10.5" customHeight="1"/>
    <row r="1031173" ht="10.5" customHeight="1"/>
    <row r="1031174" ht="10.5" customHeight="1"/>
    <row r="1031175" ht="10.5" customHeight="1"/>
    <row r="1031176" ht="10.5" customHeight="1"/>
    <row r="1031177" ht="10.5" customHeight="1"/>
    <row r="1031178" ht="10.5" customHeight="1"/>
    <row r="1031179" ht="10.5" customHeight="1"/>
    <row r="1031180" ht="10.5" customHeight="1"/>
    <row r="1031181" ht="10.5" customHeight="1"/>
    <row r="1031182" ht="10.5" customHeight="1"/>
    <row r="1031183" ht="10.5" customHeight="1"/>
    <row r="1031184" ht="10.5" customHeight="1"/>
    <row r="1031185" ht="10.5" customHeight="1"/>
    <row r="1031186" ht="10.5" customHeight="1"/>
    <row r="1031187" ht="10.5" customHeight="1"/>
    <row r="1031188" ht="10.5" customHeight="1"/>
    <row r="1031189" ht="10.5" customHeight="1"/>
    <row r="1031190" ht="10.5" customHeight="1"/>
    <row r="1031191" ht="10.5" customHeight="1"/>
    <row r="1031192" ht="10.5" customHeight="1"/>
    <row r="1031193" ht="10.5" customHeight="1"/>
    <row r="1031194" ht="10.5" customHeight="1"/>
    <row r="1031195" ht="10.5" customHeight="1"/>
    <row r="1031196" ht="10.5" customHeight="1"/>
    <row r="1031197" ht="10.5" customHeight="1"/>
    <row r="1031198" ht="10.5" customHeight="1"/>
    <row r="1031199" ht="10.5" customHeight="1"/>
    <row r="1031200" ht="10.5" customHeight="1"/>
    <row r="1031201" ht="10.5" customHeight="1"/>
    <row r="1031202" ht="10.5" customHeight="1"/>
    <row r="1031203" ht="10.5" customHeight="1"/>
    <row r="1031204" ht="10.5" customHeight="1"/>
    <row r="1031205" ht="10.5" customHeight="1"/>
    <row r="1031206" ht="10.5" customHeight="1"/>
    <row r="1031207" ht="10.5" customHeight="1"/>
    <row r="1031208" ht="10.5" customHeight="1"/>
    <row r="1031209" ht="10.5" customHeight="1"/>
    <row r="1031210" ht="10.5" customHeight="1"/>
    <row r="1031211" ht="10.5" customHeight="1"/>
    <row r="1031212" ht="10.5" customHeight="1"/>
    <row r="1031213" ht="10.5" customHeight="1"/>
    <row r="1031214" ht="10.5" customHeight="1"/>
    <row r="1031215" ht="10.5" customHeight="1"/>
    <row r="1031216" ht="10.5" customHeight="1"/>
    <row r="1031217" ht="10.5" customHeight="1"/>
    <row r="1031218" ht="10.5" customHeight="1"/>
    <row r="1031219" ht="10.5" customHeight="1"/>
    <row r="1031220" ht="10.5" customHeight="1"/>
    <row r="1031221" ht="10.5" customHeight="1"/>
    <row r="1031222" ht="10.5" customHeight="1"/>
    <row r="1031223" ht="10.5" customHeight="1"/>
    <row r="1031224" ht="10.5" customHeight="1"/>
    <row r="1031225" ht="10.5" customHeight="1"/>
    <row r="1031226" ht="10.5" customHeight="1"/>
    <row r="1031227" ht="10.5" customHeight="1"/>
    <row r="1031228" ht="10.5" customHeight="1"/>
    <row r="1031229" ht="10.5" customHeight="1"/>
    <row r="1031230" ht="10.5" customHeight="1"/>
    <row r="1031231" ht="10.5" customHeight="1"/>
    <row r="1031232" ht="10.5" customHeight="1"/>
    <row r="1031233" ht="10.5" customHeight="1"/>
    <row r="1031234" ht="10.5" customHeight="1"/>
    <row r="1031235" ht="10.5" customHeight="1"/>
    <row r="1031236" ht="10.5" customHeight="1"/>
    <row r="1031237" ht="10.5" customHeight="1"/>
    <row r="1031238" ht="10.5" customHeight="1"/>
    <row r="1031239" ht="10.5" customHeight="1"/>
    <row r="1031240" ht="10.5" customHeight="1"/>
    <row r="1031241" ht="10.5" customHeight="1"/>
    <row r="1031242" ht="10.5" customHeight="1"/>
    <row r="1031243" ht="10.5" customHeight="1"/>
    <row r="1031244" ht="10.5" customHeight="1"/>
    <row r="1031245" ht="10.5" customHeight="1"/>
    <row r="1031246" ht="10.5" customHeight="1"/>
    <row r="1031247" ht="10.5" customHeight="1"/>
    <row r="1031248" ht="10.5" customHeight="1"/>
    <row r="1031249" ht="10.5" customHeight="1"/>
    <row r="1031250" ht="10.5" customHeight="1"/>
    <row r="1031251" ht="10.5" customHeight="1"/>
    <row r="1031252" ht="10.5" customHeight="1"/>
    <row r="1031253" ht="10.5" customHeight="1"/>
    <row r="1031254" ht="10.5" customHeight="1"/>
    <row r="1031255" ht="10.5" customHeight="1"/>
    <row r="1031256" ht="10.5" customHeight="1"/>
    <row r="1031257" ht="10.5" customHeight="1"/>
    <row r="1031258" ht="10.5" customHeight="1"/>
    <row r="1031259" ht="10.5" customHeight="1"/>
    <row r="1031260" ht="10.5" customHeight="1"/>
    <row r="1031261" ht="10.5" customHeight="1"/>
    <row r="1031262" ht="10.5" customHeight="1"/>
    <row r="1031263" ht="10.5" customHeight="1"/>
    <row r="1031264" ht="10.5" customHeight="1"/>
    <row r="1031265" ht="10.5" customHeight="1"/>
    <row r="1031266" ht="10.5" customHeight="1"/>
    <row r="1031267" ht="10.5" customHeight="1"/>
    <row r="1031268" ht="10.5" customHeight="1"/>
    <row r="1031269" ht="10.5" customHeight="1"/>
    <row r="1031270" ht="10.5" customHeight="1"/>
    <row r="1031271" ht="10.5" customHeight="1"/>
    <row r="1031272" ht="10.5" customHeight="1"/>
    <row r="1031273" ht="10.5" customHeight="1"/>
    <row r="1031274" ht="10.5" customHeight="1"/>
    <row r="1031275" ht="10.5" customHeight="1"/>
    <row r="1031276" ht="10.5" customHeight="1"/>
    <row r="1031277" ht="10.5" customHeight="1"/>
    <row r="1031278" ht="10.5" customHeight="1"/>
    <row r="1031279" ht="10.5" customHeight="1"/>
    <row r="1031280" ht="10.5" customHeight="1"/>
    <row r="1031281" ht="10.5" customHeight="1"/>
    <row r="1031282" ht="10.5" customHeight="1"/>
    <row r="1031283" ht="10.5" customHeight="1"/>
    <row r="1031284" ht="10.5" customHeight="1"/>
    <row r="1031285" ht="10.5" customHeight="1"/>
    <row r="1031286" ht="10.5" customHeight="1"/>
    <row r="1031287" ht="10.5" customHeight="1"/>
    <row r="1031288" ht="10.5" customHeight="1"/>
    <row r="1031289" ht="10.5" customHeight="1"/>
    <row r="1031290" ht="10.5" customHeight="1"/>
    <row r="1031291" ht="10.5" customHeight="1"/>
    <row r="1031292" ht="10.5" customHeight="1"/>
    <row r="1031293" ht="10.5" customHeight="1"/>
    <row r="1031294" ht="10.5" customHeight="1"/>
    <row r="1031295" ht="10.5" customHeight="1"/>
    <row r="1031296" ht="10.5" customHeight="1"/>
    <row r="1031297" ht="10.5" customHeight="1"/>
    <row r="1031298" ht="10.5" customHeight="1"/>
    <row r="1031299" ht="10.5" customHeight="1"/>
    <row r="1031300" ht="10.5" customHeight="1"/>
    <row r="1031301" ht="10.5" customHeight="1"/>
    <row r="1031302" ht="10.5" customHeight="1"/>
    <row r="1031303" ht="10.5" customHeight="1"/>
    <row r="1031304" ht="10.5" customHeight="1"/>
    <row r="1031305" ht="10.5" customHeight="1"/>
    <row r="1031306" ht="10.5" customHeight="1"/>
    <row r="1031307" ht="10.5" customHeight="1"/>
    <row r="1031308" ht="10.5" customHeight="1"/>
    <row r="1031309" ht="10.5" customHeight="1"/>
    <row r="1031310" ht="10.5" customHeight="1"/>
    <row r="1031311" ht="10.5" customHeight="1"/>
    <row r="1031312" ht="10.5" customHeight="1"/>
    <row r="1031313" ht="10.5" customHeight="1"/>
    <row r="1031314" ht="10.5" customHeight="1"/>
    <row r="1031315" ht="10.5" customHeight="1"/>
    <row r="1031316" ht="10.5" customHeight="1"/>
    <row r="1031317" ht="10.5" customHeight="1"/>
    <row r="1031318" ht="10.5" customHeight="1"/>
    <row r="1031319" ht="10.5" customHeight="1"/>
    <row r="1031320" ht="10.5" customHeight="1"/>
    <row r="1031321" ht="10.5" customHeight="1"/>
    <row r="1031322" ht="10.5" customHeight="1"/>
    <row r="1031323" ht="10.5" customHeight="1"/>
    <row r="1031324" ht="10.5" customHeight="1"/>
    <row r="1031325" ht="10.5" customHeight="1"/>
    <row r="1031326" ht="10.5" customHeight="1"/>
    <row r="1031327" ht="10.5" customHeight="1"/>
    <row r="1031328" ht="10.5" customHeight="1"/>
    <row r="1031329" ht="10.5" customHeight="1"/>
    <row r="1031330" ht="10.5" customHeight="1"/>
    <row r="1031331" ht="10.5" customHeight="1"/>
    <row r="1031332" ht="10.5" customHeight="1"/>
    <row r="1031333" ht="10.5" customHeight="1"/>
    <row r="1031334" ht="10.5" customHeight="1"/>
    <row r="1031335" ht="10.5" customHeight="1"/>
    <row r="1031336" ht="10.5" customHeight="1"/>
    <row r="1031337" ht="10.5" customHeight="1"/>
    <row r="1031338" ht="10.5" customHeight="1"/>
    <row r="1031339" ht="10.5" customHeight="1"/>
    <row r="1031340" ht="10.5" customHeight="1"/>
    <row r="1031341" ht="10.5" customHeight="1"/>
    <row r="1031342" ht="10.5" customHeight="1"/>
    <row r="1031343" ht="10.5" customHeight="1"/>
    <row r="1031344" ht="10.5" customHeight="1"/>
    <row r="1031345" ht="10.5" customHeight="1"/>
    <row r="1031346" ht="10.5" customHeight="1"/>
    <row r="1031347" ht="10.5" customHeight="1"/>
    <row r="1031348" ht="10.5" customHeight="1"/>
    <row r="1031349" ht="10.5" customHeight="1"/>
    <row r="1031350" ht="10.5" customHeight="1"/>
    <row r="1031351" ht="10.5" customHeight="1"/>
    <row r="1031352" ht="10.5" customHeight="1"/>
    <row r="1031353" ht="10.5" customHeight="1"/>
    <row r="1031354" ht="10.5" customHeight="1"/>
    <row r="1031355" ht="10.5" customHeight="1"/>
    <row r="1031356" ht="10.5" customHeight="1"/>
    <row r="1031357" ht="10.5" customHeight="1"/>
    <row r="1031358" ht="10.5" customHeight="1"/>
    <row r="1031359" ht="10.5" customHeight="1"/>
    <row r="1031360" ht="10.5" customHeight="1"/>
    <row r="1031361" ht="10.5" customHeight="1"/>
    <row r="1031362" ht="10.5" customHeight="1"/>
    <row r="1031363" ht="10.5" customHeight="1"/>
    <row r="1031364" ht="10.5" customHeight="1"/>
    <row r="1031365" ht="10.5" customHeight="1"/>
    <row r="1031366" ht="10.5" customHeight="1"/>
    <row r="1031367" ht="10.5" customHeight="1"/>
    <row r="1031368" ht="10.5" customHeight="1"/>
    <row r="1031369" ht="10.5" customHeight="1"/>
    <row r="1031370" ht="10.5" customHeight="1"/>
    <row r="1031371" ht="10.5" customHeight="1"/>
    <row r="1031372" ht="10.5" customHeight="1"/>
    <row r="1031373" ht="10.5" customHeight="1"/>
    <row r="1031374" ht="10.5" customHeight="1"/>
    <row r="1031375" ht="10.5" customHeight="1"/>
    <row r="1031376" ht="10.5" customHeight="1"/>
    <row r="1031377" ht="10.5" customHeight="1"/>
    <row r="1031378" ht="10.5" customHeight="1"/>
    <row r="1031379" ht="10.5" customHeight="1"/>
    <row r="1031380" ht="10.5" customHeight="1"/>
    <row r="1031381" ht="10.5" customHeight="1"/>
    <row r="1031382" ht="10.5" customHeight="1"/>
    <row r="1031383" ht="10.5" customHeight="1"/>
    <row r="1031384" ht="10.5" customHeight="1"/>
    <row r="1031385" ht="10.5" customHeight="1"/>
    <row r="1031386" ht="10.5" customHeight="1"/>
    <row r="1031387" ht="10.5" customHeight="1"/>
    <row r="1031388" ht="10.5" customHeight="1"/>
    <row r="1031389" ht="10.5" customHeight="1"/>
    <row r="1031390" ht="10.5" customHeight="1"/>
    <row r="1031391" ht="10.5" customHeight="1"/>
    <row r="1031392" ht="10.5" customHeight="1"/>
    <row r="1031393" ht="10.5" customHeight="1"/>
    <row r="1031394" ht="10.5" customHeight="1"/>
    <row r="1031395" ht="10.5" customHeight="1"/>
    <row r="1031396" ht="10.5" customHeight="1"/>
    <row r="1031397" ht="10.5" customHeight="1"/>
    <row r="1031398" ht="10.5" customHeight="1"/>
    <row r="1031399" ht="10.5" customHeight="1"/>
    <row r="1031400" ht="10.5" customHeight="1"/>
    <row r="1031401" ht="10.5" customHeight="1"/>
    <row r="1031402" ht="10.5" customHeight="1"/>
    <row r="1031403" ht="10.5" customHeight="1"/>
    <row r="1031404" ht="10.5" customHeight="1"/>
    <row r="1031405" ht="10.5" customHeight="1"/>
    <row r="1031406" ht="10.5" customHeight="1"/>
    <row r="1031407" ht="10.5" customHeight="1"/>
    <row r="1031408" ht="10.5" customHeight="1"/>
    <row r="1031409" ht="10.5" customHeight="1"/>
    <row r="1031410" ht="10.5" customHeight="1"/>
    <row r="1031411" ht="10.5" customHeight="1"/>
    <row r="1031412" ht="10.5" customHeight="1"/>
    <row r="1031413" ht="10.5" customHeight="1"/>
    <row r="1031414" ht="10.5" customHeight="1"/>
    <row r="1031415" ht="10.5" customHeight="1"/>
    <row r="1031416" ht="10.5" customHeight="1"/>
    <row r="1031417" ht="10.5" customHeight="1"/>
    <row r="1031418" ht="10.5" customHeight="1"/>
    <row r="1031419" ht="10.5" customHeight="1"/>
    <row r="1031420" ht="10.5" customHeight="1"/>
    <row r="1031421" ht="10.5" customHeight="1"/>
    <row r="1031422" ht="10.5" customHeight="1"/>
    <row r="1031423" ht="10.5" customHeight="1"/>
    <row r="1031424" ht="10.5" customHeight="1"/>
    <row r="1031425" ht="10.5" customHeight="1"/>
    <row r="1031426" ht="10.5" customHeight="1"/>
    <row r="1031427" ht="10.5" customHeight="1"/>
    <row r="1031428" ht="10.5" customHeight="1"/>
    <row r="1031429" ht="10.5" customHeight="1"/>
    <row r="1031430" ht="10.5" customHeight="1"/>
    <row r="1031431" ht="10.5" customHeight="1"/>
    <row r="1031432" ht="10.5" customHeight="1"/>
    <row r="1031433" ht="10.5" customHeight="1"/>
    <row r="1031434" ht="10.5" customHeight="1"/>
    <row r="1031435" ht="10.5" customHeight="1"/>
    <row r="1031436" ht="10.5" customHeight="1"/>
    <row r="1031437" ht="10.5" customHeight="1"/>
    <row r="1031438" ht="10.5" customHeight="1"/>
    <row r="1031439" ht="10.5" customHeight="1"/>
    <row r="1031440" ht="10.5" customHeight="1"/>
    <row r="1031441" ht="10.5" customHeight="1"/>
    <row r="1031442" ht="10.5" customHeight="1"/>
    <row r="1031443" ht="10.5" customHeight="1"/>
    <row r="1031444" ht="10.5" customHeight="1"/>
    <row r="1031445" ht="10.5" customHeight="1"/>
    <row r="1031446" ht="10.5" customHeight="1"/>
    <row r="1031447" ht="10.5" customHeight="1"/>
    <row r="1031448" ht="10.5" customHeight="1"/>
    <row r="1031449" ht="10.5" customHeight="1"/>
    <row r="1031450" ht="10.5" customHeight="1"/>
    <row r="1031451" ht="10.5" customHeight="1"/>
    <row r="1031452" ht="10.5" customHeight="1"/>
    <row r="1031453" ht="10.5" customHeight="1"/>
    <row r="1031454" ht="10.5" customHeight="1"/>
    <row r="1031455" ht="10.5" customHeight="1"/>
    <row r="1031456" ht="10.5" customHeight="1"/>
    <row r="1031457" ht="10.5" customHeight="1"/>
    <row r="1031458" ht="10.5" customHeight="1"/>
    <row r="1031459" ht="10.5" customHeight="1"/>
    <row r="1031460" ht="10.5" customHeight="1"/>
    <row r="1031461" ht="10.5" customHeight="1"/>
    <row r="1031462" ht="10.5" customHeight="1"/>
    <row r="1031463" ht="10.5" customHeight="1"/>
    <row r="1031464" ht="10.5" customHeight="1"/>
    <row r="1031465" ht="10.5" customHeight="1"/>
    <row r="1031466" ht="10.5" customHeight="1"/>
    <row r="1031467" ht="10.5" customHeight="1"/>
    <row r="1031468" ht="10.5" customHeight="1"/>
    <row r="1031469" ht="10.5" customHeight="1"/>
    <row r="1031470" ht="10.5" customHeight="1"/>
    <row r="1031471" ht="10.5" customHeight="1"/>
    <row r="1031472" ht="10.5" customHeight="1"/>
    <row r="1031473" ht="10.5" customHeight="1"/>
    <row r="1031474" ht="10.5" customHeight="1"/>
    <row r="1031475" ht="10.5" customHeight="1"/>
    <row r="1031476" ht="10.5" customHeight="1"/>
    <row r="1031477" ht="10.5" customHeight="1"/>
    <row r="1031478" ht="10.5" customHeight="1"/>
    <row r="1031479" ht="10.5" customHeight="1"/>
    <row r="1031480" ht="10.5" customHeight="1"/>
    <row r="1031481" ht="10.5" customHeight="1"/>
    <row r="1031482" ht="10.5" customHeight="1"/>
    <row r="1031483" ht="10.5" customHeight="1"/>
    <row r="1031484" ht="10.5" customHeight="1"/>
    <row r="1031485" ht="10.5" customHeight="1"/>
    <row r="1031486" ht="10.5" customHeight="1"/>
    <row r="1031487" ht="10.5" customHeight="1"/>
    <row r="1031488" ht="10.5" customHeight="1"/>
    <row r="1031489" ht="10.5" customHeight="1"/>
    <row r="1031490" ht="10.5" customHeight="1"/>
    <row r="1031491" ht="10.5" customHeight="1"/>
    <row r="1031492" ht="10.5" customHeight="1"/>
    <row r="1031493" ht="10.5" customHeight="1"/>
    <row r="1031494" ht="10.5" customHeight="1"/>
    <row r="1031495" ht="10.5" customHeight="1"/>
    <row r="1031496" ht="10.5" customHeight="1"/>
    <row r="1031497" ht="10.5" customHeight="1"/>
    <row r="1031498" ht="10.5" customHeight="1"/>
    <row r="1031499" ht="10.5" customHeight="1"/>
    <row r="1031500" ht="10.5" customHeight="1"/>
    <row r="1031501" ht="10.5" customHeight="1"/>
    <row r="1031502" ht="10.5" customHeight="1"/>
    <row r="1031503" ht="10.5" customHeight="1"/>
    <row r="1031504" ht="10.5" customHeight="1"/>
    <row r="1031505" ht="10.5" customHeight="1"/>
    <row r="1031506" ht="10.5" customHeight="1"/>
    <row r="1031507" ht="10.5" customHeight="1"/>
    <row r="1031508" ht="10.5" customHeight="1"/>
    <row r="1031509" ht="10.5" customHeight="1"/>
    <row r="1031510" ht="10.5" customHeight="1"/>
    <row r="1031511" ht="10.5" customHeight="1"/>
    <row r="1031512" ht="10.5" customHeight="1"/>
    <row r="1031513" ht="10.5" customHeight="1"/>
    <row r="1031514" ht="10.5" customHeight="1"/>
    <row r="1031515" ht="10.5" customHeight="1"/>
    <row r="1031516" ht="10.5" customHeight="1"/>
    <row r="1031517" ht="10.5" customHeight="1"/>
    <row r="1031518" ht="10.5" customHeight="1"/>
    <row r="1031519" ht="10.5" customHeight="1"/>
    <row r="1031520" ht="10.5" customHeight="1"/>
    <row r="1031521" ht="10.5" customHeight="1"/>
    <row r="1031522" ht="10.5" customHeight="1"/>
    <row r="1031523" ht="10.5" customHeight="1"/>
    <row r="1031524" ht="10.5" customHeight="1"/>
    <row r="1031525" ht="10.5" customHeight="1"/>
    <row r="1031526" ht="10.5" customHeight="1"/>
    <row r="1031527" ht="10.5" customHeight="1"/>
    <row r="1031528" ht="10.5" customHeight="1"/>
    <row r="1031529" ht="10.5" customHeight="1"/>
    <row r="1031530" ht="10.5" customHeight="1"/>
    <row r="1031531" ht="10.5" customHeight="1"/>
    <row r="1031532" ht="10.5" customHeight="1"/>
    <row r="1031533" ht="10.5" customHeight="1"/>
    <row r="1031534" ht="10.5" customHeight="1"/>
    <row r="1031535" ht="10.5" customHeight="1"/>
    <row r="1031536" ht="10.5" customHeight="1"/>
    <row r="1031537" ht="10.5" customHeight="1"/>
    <row r="1031538" ht="10.5" customHeight="1"/>
    <row r="1031539" ht="10.5" customHeight="1"/>
    <row r="1031540" ht="10.5" customHeight="1"/>
    <row r="1031541" ht="10.5" customHeight="1"/>
    <row r="1031542" ht="10.5" customHeight="1"/>
    <row r="1031543" ht="10.5" customHeight="1"/>
    <row r="1031544" ht="10.5" customHeight="1"/>
    <row r="1031545" ht="10.5" customHeight="1"/>
    <row r="1031546" ht="10.5" customHeight="1"/>
    <row r="1031547" ht="10.5" customHeight="1"/>
    <row r="1031548" ht="10.5" customHeight="1"/>
    <row r="1031549" ht="10.5" customHeight="1"/>
    <row r="1031550" ht="10.5" customHeight="1"/>
    <row r="1031551" ht="10.5" customHeight="1"/>
    <row r="1031552" ht="10.5" customHeight="1"/>
    <row r="1031553" ht="10.5" customHeight="1"/>
    <row r="1031554" ht="10.5" customHeight="1"/>
    <row r="1031555" ht="10.5" customHeight="1"/>
    <row r="1031556" ht="10.5" customHeight="1"/>
    <row r="1031557" ht="10.5" customHeight="1"/>
    <row r="1031558" ht="10.5" customHeight="1"/>
    <row r="1031559" ht="10.5" customHeight="1"/>
    <row r="1031560" ht="10.5" customHeight="1"/>
    <row r="1031561" ht="10.5" customHeight="1"/>
    <row r="1031562" ht="10.5" customHeight="1"/>
    <row r="1031563" ht="10.5" customHeight="1"/>
    <row r="1031564" ht="10.5" customHeight="1"/>
    <row r="1031565" ht="10.5" customHeight="1"/>
    <row r="1031566" ht="10.5" customHeight="1"/>
    <row r="1031567" ht="10.5" customHeight="1"/>
    <row r="1031568" ht="10.5" customHeight="1"/>
    <row r="1031569" ht="10.5" customHeight="1"/>
    <row r="1031570" ht="10.5" customHeight="1"/>
    <row r="1031571" ht="10.5" customHeight="1"/>
    <row r="1031572" ht="10.5" customHeight="1"/>
    <row r="1031573" ht="10.5" customHeight="1"/>
    <row r="1031574" ht="10.5" customHeight="1"/>
    <row r="1031575" ht="10.5" customHeight="1"/>
    <row r="1031576" ht="10.5" customHeight="1"/>
    <row r="1031577" ht="10.5" customHeight="1"/>
    <row r="1031578" ht="10.5" customHeight="1"/>
    <row r="1031579" ht="10.5" customHeight="1"/>
    <row r="1031580" ht="10.5" customHeight="1"/>
    <row r="1031581" ht="10.5" customHeight="1"/>
    <row r="1031582" ht="10.5" customHeight="1"/>
    <row r="1031583" ht="10.5" customHeight="1"/>
    <row r="1031584" ht="10.5" customHeight="1"/>
    <row r="1031585" ht="10.5" customHeight="1"/>
    <row r="1031586" ht="10.5" customHeight="1"/>
    <row r="1031587" ht="10.5" customHeight="1"/>
    <row r="1031588" ht="10.5" customHeight="1"/>
    <row r="1031589" ht="10.5" customHeight="1"/>
    <row r="1031590" ht="10.5" customHeight="1"/>
    <row r="1031591" ht="10.5" customHeight="1"/>
    <row r="1031592" ht="10.5" customHeight="1"/>
    <row r="1031593" ht="10.5" customHeight="1"/>
    <row r="1031594" ht="10.5" customHeight="1"/>
    <row r="1031595" ht="10.5" customHeight="1"/>
    <row r="1031596" ht="10.5" customHeight="1"/>
    <row r="1031597" ht="10.5" customHeight="1"/>
    <row r="1031598" ht="10.5" customHeight="1"/>
    <row r="1031599" ht="10.5" customHeight="1"/>
    <row r="1031600" ht="10.5" customHeight="1"/>
    <row r="1031601" ht="10.5" customHeight="1"/>
    <row r="1031602" ht="10.5" customHeight="1"/>
    <row r="1031603" ht="10.5" customHeight="1"/>
    <row r="1031604" ht="10.5" customHeight="1"/>
    <row r="1031605" ht="10.5" customHeight="1"/>
    <row r="1031606" ht="10.5" customHeight="1"/>
    <row r="1031607" ht="10.5" customHeight="1"/>
    <row r="1031608" ht="10.5" customHeight="1"/>
    <row r="1031609" ht="10.5" customHeight="1"/>
    <row r="1031610" ht="10.5" customHeight="1"/>
    <row r="1031611" ht="10.5" customHeight="1"/>
    <row r="1031612" ht="10.5" customHeight="1"/>
    <row r="1031613" ht="10.5" customHeight="1"/>
    <row r="1031614" ht="10.5" customHeight="1"/>
    <row r="1031615" ht="10.5" customHeight="1"/>
    <row r="1031616" ht="10.5" customHeight="1"/>
    <row r="1031617" ht="10.5" customHeight="1"/>
    <row r="1031618" ht="10.5" customHeight="1"/>
    <row r="1031619" ht="10.5" customHeight="1"/>
    <row r="1031620" ht="10.5" customHeight="1"/>
    <row r="1031621" ht="10.5" customHeight="1"/>
    <row r="1031622" ht="10.5" customHeight="1"/>
    <row r="1031623" ht="10.5" customHeight="1"/>
    <row r="1031624" ht="10.5" customHeight="1"/>
    <row r="1031625" ht="10.5" customHeight="1"/>
    <row r="1031626" ht="10.5" customHeight="1"/>
    <row r="1031627" ht="10.5" customHeight="1"/>
    <row r="1031628" ht="10.5" customHeight="1"/>
    <row r="1031629" ht="10.5" customHeight="1"/>
    <row r="1031630" ht="10.5" customHeight="1"/>
    <row r="1031631" ht="10.5" customHeight="1"/>
    <row r="1031632" ht="10.5" customHeight="1"/>
    <row r="1031633" ht="10.5" customHeight="1"/>
    <row r="1031634" ht="10.5" customHeight="1"/>
    <row r="1031635" ht="10.5" customHeight="1"/>
    <row r="1031636" ht="10.5" customHeight="1"/>
    <row r="1031637" ht="10.5" customHeight="1"/>
    <row r="1031638" ht="10.5" customHeight="1"/>
    <row r="1031639" ht="10.5" customHeight="1"/>
    <row r="1031640" ht="10.5" customHeight="1"/>
    <row r="1031641" ht="10.5" customHeight="1"/>
    <row r="1031642" ht="10.5" customHeight="1"/>
    <row r="1031643" ht="10.5" customHeight="1"/>
    <row r="1031644" ht="10.5" customHeight="1"/>
    <row r="1031645" ht="10.5" customHeight="1"/>
    <row r="1031646" ht="10.5" customHeight="1"/>
    <row r="1031647" ht="10.5" customHeight="1"/>
    <row r="1031648" ht="10.5" customHeight="1"/>
    <row r="1031649" ht="10.5" customHeight="1"/>
    <row r="1031650" ht="10.5" customHeight="1"/>
    <row r="1031651" ht="10.5" customHeight="1"/>
    <row r="1031652" ht="10.5" customHeight="1"/>
    <row r="1031653" ht="10.5" customHeight="1"/>
    <row r="1031654" ht="10.5" customHeight="1"/>
    <row r="1031655" ht="10.5" customHeight="1"/>
    <row r="1031656" ht="10.5" customHeight="1"/>
    <row r="1031657" ht="10.5" customHeight="1"/>
    <row r="1031658" ht="10.5" customHeight="1"/>
    <row r="1031659" ht="10.5" customHeight="1"/>
    <row r="1031660" ht="10.5" customHeight="1"/>
    <row r="1031661" ht="10.5" customHeight="1"/>
    <row r="1031662" ht="10.5" customHeight="1"/>
    <row r="1031663" ht="10.5" customHeight="1"/>
    <row r="1031664" ht="10.5" customHeight="1"/>
    <row r="1031665" ht="10.5" customHeight="1"/>
    <row r="1031666" ht="10.5" customHeight="1"/>
    <row r="1031667" ht="10.5" customHeight="1"/>
    <row r="1031668" ht="10.5" customHeight="1"/>
    <row r="1031669" ht="10.5" customHeight="1"/>
    <row r="1031670" ht="10.5" customHeight="1"/>
    <row r="1031671" ht="10.5" customHeight="1"/>
    <row r="1031672" ht="10.5" customHeight="1"/>
    <row r="1031673" ht="10.5" customHeight="1"/>
    <row r="1031674" ht="10.5" customHeight="1"/>
    <row r="1031675" ht="10.5" customHeight="1"/>
    <row r="1031676" ht="10.5" customHeight="1"/>
    <row r="1031677" ht="10.5" customHeight="1"/>
    <row r="1031678" ht="10.5" customHeight="1"/>
    <row r="1031679" ht="10.5" customHeight="1"/>
    <row r="1031680" ht="10.5" customHeight="1"/>
    <row r="1031681" ht="10.5" customHeight="1"/>
    <row r="1031682" ht="10.5" customHeight="1"/>
    <row r="1031683" ht="10.5" customHeight="1"/>
    <row r="1031684" ht="10.5" customHeight="1"/>
    <row r="1031685" ht="10.5" customHeight="1"/>
    <row r="1031686" ht="10.5" customHeight="1"/>
    <row r="1031687" ht="10.5" customHeight="1"/>
    <row r="1031688" ht="10.5" customHeight="1"/>
    <row r="1031689" ht="10.5" customHeight="1"/>
    <row r="1031690" ht="10.5" customHeight="1"/>
    <row r="1031691" ht="10.5" customHeight="1"/>
    <row r="1031692" ht="10.5" customHeight="1"/>
    <row r="1031693" ht="10.5" customHeight="1"/>
    <row r="1031694" ht="10.5" customHeight="1"/>
    <row r="1031695" ht="10.5" customHeight="1"/>
    <row r="1031696" ht="10.5" customHeight="1"/>
    <row r="1031697" ht="10.5" customHeight="1"/>
    <row r="1031698" ht="10.5" customHeight="1"/>
    <row r="1031699" ht="10.5" customHeight="1"/>
    <row r="1031700" ht="10.5" customHeight="1"/>
    <row r="1031701" ht="10.5" customHeight="1"/>
    <row r="1031702" ht="10.5" customHeight="1"/>
    <row r="1031703" ht="10.5" customHeight="1"/>
    <row r="1031704" ht="10.5" customHeight="1"/>
    <row r="1031705" ht="10.5" customHeight="1"/>
    <row r="1031706" ht="10.5" customHeight="1"/>
    <row r="1031707" ht="10.5" customHeight="1"/>
    <row r="1031708" ht="10.5" customHeight="1"/>
    <row r="1031709" ht="10.5" customHeight="1"/>
    <row r="1031710" ht="10.5" customHeight="1"/>
    <row r="1031711" ht="10.5" customHeight="1"/>
    <row r="1031712" ht="10.5" customHeight="1"/>
    <row r="1031713" ht="10.5" customHeight="1"/>
    <row r="1031714" ht="10.5" customHeight="1"/>
    <row r="1031715" ht="10.5" customHeight="1"/>
    <row r="1031716" ht="10.5" customHeight="1"/>
    <row r="1031717" ht="10.5" customHeight="1"/>
    <row r="1031718" ht="10.5" customHeight="1"/>
    <row r="1031719" ht="10.5" customHeight="1"/>
    <row r="1031720" ht="10.5" customHeight="1"/>
    <row r="1031721" ht="10.5" customHeight="1"/>
    <row r="1031722" ht="10.5" customHeight="1"/>
    <row r="1031723" ht="10.5" customHeight="1"/>
    <row r="1031724" ht="10.5" customHeight="1"/>
    <row r="1031725" ht="10.5" customHeight="1"/>
    <row r="1031726" ht="10.5" customHeight="1"/>
    <row r="1031727" ht="10.5" customHeight="1"/>
    <row r="1031728" ht="10.5" customHeight="1"/>
    <row r="1031729" ht="10.5" customHeight="1"/>
    <row r="1031730" ht="10.5" customHeight="1"/>
    <row r="1031731" ht="10.5" customHeight="1"/>
    <row r="1031732" ht="10.5" customHeight="1"/>
    <row r="1031733" ht="10.5" customHeight="1"/>
    <row r="1031734" ht="10.5" customHeight="1"/>
    <row r="1031735" ht="10.5" customHeight="1"/>
    <row r="1031736" ht="10.5" customHeight="1"/>
    <row r="1031737" ht="10.5" customHeight="1"/>
    <row r="1031738" ht="10.5" customHeight="1"/>
    <row r="1031739" ht="10.5" customHeight="1"/>
    <row r="1031740" ht="10.5" customHeight="1"/>
    <row r="1031741" ht="10.5" customHeight="1"/>
    <row r="1031742" ht="10.5" customHeight="1"/>
    <row r="1031743" ht="10.5" customHeight="1"/>
    <row r="1031744" ht="10.5" customHeight="1"/>
    <row r="1031745" ht="10.5" customHeight="1"/>
    <row r="1031746" ht="10.5" customHeight="1"/>
    <row r="1031747" ht="10.5" customHeight="1"/>
    <row r="1031748" ht="10.5" customHeight="1"/>
    <row r="1031749" ht="10.5" customHeight="1"/>
    <row r="1031750" ht="10.5" customHeight="1"/>
    <row r="1031751" ht="10.5" customHeight="1"/>
    <row r="1031752" ht="10.5" customHeight="1"/>
    <row r="1031753" ht="10.5" customHeight="1"/>
    <row r="1031754" ht="10.5" customHeight="1"/>
    <row r="1031755" ht="10.5" customHeight="1"/>
    <row r="1031756" ht="10.5" customHeight="1"/>
    <row r="1031757" ht="10.5" customHeight="1"/>
    <row r="1031758" ht="10.5" customHeight="1"/>
    <row r="1031759" ht="10.5" customHeight="1"/>
    <row r="1031760" ht="10.5" customHeight="1"/>
    <row r="1031761" ht="10.5" customHeight="1"/>
    <row r="1031762" ht="10.5" customHeight="1"/>
    <row r="1031763" ht="10.5" customHeight="1"/>
    <row r="1031764" ht="10.5" customHeight="1"/>
    <row r="1031765" ht="10.5" customHeight="1"/>
    <row r="1031766" ht="10.5" customHeight="1"/>
    <row r="1031767" ht="10.5" customHeight="1"/>
    <row r="1031768" ht="10.5" customHeight="1"/>
    <row r="1031769" ht="10.5" customHeight="1"/>
    <row r="1031770" ht="10.5" customHeight="1"/>
    <row r="1031771" ht="10.5" customHeight="1"/>
    <row r="1031772" ht="10.5" customHeight="1"/>
    <row r="1031773" ht="10.5" customHeight="1"/>
    <row r="1031774" ht="10.5" customHeight="1"/>
    <row r="1031775" ht="10.5" customHeight="1"/>
    <row r="1031776" ht="10.5" customHeight="1"/>
    <row r="1031777" ht="10.5" customHeight="1"/>
    <row r="1031778" ht="10.5" customHeight="1"/>
    <row r="1031779" ht="10.5" customHeight="1"/>
    <row r="1031780" ht="10.5" customHeight="1"/>
    <row r="1031781" ht="10.5" customHeight="1"/>
    <row r="1031782" ht="10.5" customHeight="1"/>
    <row r="1031783" ht="10.5" customHeight="1"/>
    <row r="1031784" ht="10.5" customHeight="1"/>
    <row r="1031785" ht="10.5" customHeight="1"/>
    <row r="1031786" ht="10.5" customHeight="1"/>
    <row r="1031787" ht="10.5" customHeight="1"/>
    <row r="1031788" ht="10.5" customHeight="1"/>
    <row r="1031789" ht="10.5" customHeight="1"/>
    <row r="1031790" ht="10.5" customHeight="1"/>
    <row r="1031791" ht="10.5" customHeight="1"/>
    <row r="1031792" ht="10.5" customHeight="1"/>
    <row r="1031793" ht="10.5" customHeight="1"/>
    <row r="1031794" ht="10.5" customHeight="1"/>
    <row r="1031795" ht="10.5" customHeight="1"/>
    <row r="1031796" ht="10.5" customHeight="1"/>
    <row r="1031797" ht="10.5" customHeight="1"/>
    <row r="1031798" ht="10.5" customHeight="1"/>
    <row r="1031799" ht="10.5" customHeight="1"/>
    <row r="1031800" ht="10.5" customHeight="1"/>
    <row r="1031801" ht="10.5" customHeight="1"/>
    <row r="1031802" ht="10.5" customHeight="1"/>
    <row r="1031803" ht="10.5" customHeight="1"/>
    <row r="1031804" ht="10.5" customHeight="1"/>
    <row r="1031805" ht="10.5" customHeight="1"/>
    <row r="1031806" ht="10.5" customHeight="1"/>
    <row r="1031807" ht="10.5" customHeight="1"/>
    <row r="1031808" ht="10.5" customHeight="1"/>
    <row r="1031809" ht="10.5" customHeight="1"/>
    <row r="1031810" ht="10.5" customHeight="1"/>
    <row r="1031811" ht="10.5" customHeight="1"/>
    <row r="1031812" ht="10.5" customHeight="1"/>
    <row r="1031813" ht="10.5" customHeight="1"/>
    <row r="1031814" ht="10.5" customHeight="1"/>
    <row r="1031815" ht="10.5" customHeight="1"/>
    <row r="1031816" ht="10.5" customHeight="1"/>
    <row r="1031817" ht="10.5" customHeight="1"/>
    <row r="1031818" ht="10.5" customHeight="1"/>
    <row r="1031819" ht="10.5" customHeight="1"/>
    <row r="1031820" ht="10.5" customHeight="1"/>
    <row r="1031821" ht="10.5" customHeight="1"/>
    <row r="1031822" ht="10.5" customHeight="1"/>
    <row r="1031823" ht="10.5" customHeight="1"/>
    <row r="1031824" ht="10.5" customHeight="1"/>
    <row r="1031825" ht="10.5" customHeight="1"/>
    <row r="1031826" ht="10.5" customHeight="1"/>
    <row r="1031827" ht="10.5" customHeight="1"/>
    <row r="1031828" ht="10.5" customHeight="1"/>
    <row r="1031829" ht="10.5" customHeight="1"/>
    <row r="1031830" ht="10.5" customHeight="1"/>
    <row r="1031831" ht="10.5" customHeight="1"/>
    <row r="1031832" ht="10.5" customHeight="1"/>
    <row r="1031833" ht="10.5" customHeight="1"/>
    <row r="1031834" ht="10.5" customHeight="1"/>
    <row r="1031835" ht="10.5" customHeight="1"/>
    <row r="1031836" ht="10.5" customHeight="1"/>
    <row r="1031837" ht="10.5" customHeight="1"/>
    <row r="1031838" ht="10.5" customHeight="1"/>
    <row r="1031839" ht="10.5" customHeight="1"/>
    <row r="1031840" ht="10.5" customHeight="1"/>
    <row r="1031841" ht="10.5" customHeight="1"/>
    <row r="1031842" ht="10.5" customHeight="1"/>
    <row r="1031843" ht="10.5" customHeight="1"/>
    <row r="1031844" ht="10.5" customHeight="1"/>
    <row r="1031845" ht="10.5" customHeight="1"/>
    <row r="1031846" ht="10.5" customHeight="1"/>
    <row r="1031847" ht="10.5" customHeight="1"/>
    <row r="1031848" ht="10.5" customHeight="1"/>
    <row r="1031849" ht="10.5" customHeight="1"/>
    <row r="1031850" ht="10.5" customHeight="1"/>
    <row r="1031851" ht="10.5" customHeight="1"/>
    <row r="1031852" ht="10.5" customHeight="1"/>
    <row r="1031853" ht="10.5" customHeight="1"/>
    <row r="1031854" ht="10.5" customHeight="1"/>
    <row r="1031855" ht="10.5" customHeight="1"/>
    <row r="1031856" ht="10.5" customHeight="1"/>
    <row r="1031857" ht="10.5" customHeight="1"/>
    <row r="1031858" ht="10.5" customHeight="1"/>
    <row r="1031859" ht="10.5" customHeight="1"/>
    <row r="1031860" ht="10.5" customHeight="1"/>
    <row r="1031861" ht="10.5" customHeight="1"/>
    <row r="1031862" ht="10.5" customHeight="1"/>
    <row r="1031863" ht="10.5" customHeight="1"/>
    <row r="1031864" ht="10.5" customHeight="1"/>
    <row r="1031865" ht="10.5" customHeight="1"/>
    <row r="1031866" ht="10.5" customHeight="1"/>
    <row r="1031867" ht="10.5" customHeight="1"/>
    <row r="1031868" ht="10.5" customHeight="1"/>
    <row r="1031869" ht="10.5" customHeight="1"/>
    <row r="1031870" ht="10.5" customHeight="1"/>
    <row r="1031871" ht="10.5" customHeight="1"/>
    <row r="1031872" ht="10.5" customHeight="1"/>
    <row r="1031873" ht="10.5" customHeight="1"/>
    <row r="1031874" ht="10.5" customHeight="1"/>
    <row r="1031875" ht="10.5" customHeight="1"/>
    <row r="1031876" ht="10.5" customHeight="1"/>
    <row r="1031877" ht="10.5" customHeight="1"/>
    <row r="1031878" ht="10.5" customHeight="1"/>
    <row r="1031879" ht="10.5" customHeight="1"/>
    <row r="1031880" ht="10.5" customHeight="1"/>
    <row r="1031881" ht="10.5" customHeight="1"/>
    <row r="1031882" ht="10.5" customHeight="1"/>
    <row r="1031883" ht="10.5" customHeight="1"/>
    <row r="1031884" ht="10.5" customHeight="1"/>
    <row r="1031885" ht="10.5" customHeight="1"/>
    <row r="1031886" ht="10.5" customHeight="1"/>
    <row r="1031887" ht="10.5" customHeight="1"/>
    <row r="1031888" ht="10.5" customHeight="1"/>
    <row r="1031889" ht="10.5" customHeight="1"/>
    <row r="1031890" ht="10.5" customHeight="1"/>
    <row r="1031891" ht="10.5" customHeight="1"/>
    <row r="1031892" ht="10.5" customHeight="1"/>
    <row r="1031893" ht="10.5" customHeight="1"/>
    <row r="1031894" ht="10.5" customHeight="1"/>
    <row r="1031895" ht="10.5" customHeight="1"/>
    <row r="1031896" ht="10.5" customHeight="1"/>
    <row r="1031897" ht="10.5" customHeight="1"/>
    <row r="1031898" ht="10.5" customHeight="1"/>
    <row r="1031899" ht="10.5" customHeight="1"/>
    <row r="1031900" ht="10.5" customHeight="1"/>
    <row r="1031901" ht="10.5" customHeight="1"/>
    <row r="1031902" ht="10.5" customHeight="1"/>
    <row r="1031903" ht="10.5" customHeight="1"/>
    <row r="1031904" ht="10.5" customHeight="1"/>
    <row r="1031905" ht="10.5" customHeight="1"/>
    <row r="1031906" ht="10.5" customHeight="1"/>
    <row r="1031907" ht="10.5" customHeight="1"/>
    <row r="1031908" ht="10.5" customHeight="1"/>
    <row r="1031909" ht="10.5" customHeight="1"/>
    <row r="1031910" ht="10.5" customHeight="1"/>
    <row r="1031911" ht="10.5" customHeight="1"/>
    <row r="1031912" ht="10.5" customHeight="1"/>
    <row r="1031913" ht="10.5" customHeight="1"/>
    <row r="1031914" ht="10.5" customHeight="1"/>
    <row r="1031915" ht="10.5" customHeight="1"/>
    <row r="1031916" ht="10.5" customHeight="1"/>
    <row r="1031917" ht="10.5" customHeight="1"/>
    <row r="1031918" ht="10.5" customHeight="1"/>
    <row r="1031919" ht="10.5" customHeight="1"/>
    <row r="1031920" ht="10.5" customHeight="1"/>
    <row r="1031921" ht="10.5" customHeight="1"/>
    <row r="1031922" ht="10.5" customHeight="1"/>
    <row r="1031923" ht="10.5" customHeight="1"/>
    <row r="1031924" ht="10.5" customHeight="1"/>
    <row r="1031925" ht="10.5" customHeight="1"/>
    <row r="1031926" ht="10.5" customHeight="1"/>
    <row r="1031927" ht="10.5" customHeight="1"/>
    <row r="1031928" ht="10.5" customHeight="1"/>
    <row r="1031929" ht="10.5" customHeight="1"/>
    <row r="1031930" ht="10.5" customHeight="1"/>
    <row r="1031931" ht="10.5" customHeight="1"/>
    <row r="1031932" ht="10.5" customHeight="1"/>
    <row r="1031933" ht="10.5" customHeight="1"/>
    <row r="1031934" ht="10.5" customHeight="1"/>
    <row r="1031935" ht="10.5" customHeight="1"/>
    <row r="1031936" ht="10.5" customHeight="1"/>
    <row r="1031937" ht="10.5" customHeight="1"/>
    <row r="1031938" ht="10.5" customHeight="1"/>
    <row r="1031939" ht="10.5" customHeight="1"/>
    <row r="1031940" ht="10.5" customHeight="1"/>
    <row r="1031941" ht="10.5" customHeight="1"/>
    <row r="1031942" ht="10.5" customHeight="1"/>
    <row r="1031943" ht="10.5" customHeight="1"/>
    <row r="1031944" ht="10.5" customHeight="1"/>
    <row r="1031945" ht="10.5" customHeight="1"/>
    <row r="1031946" ht="10.5" customHeight="1"/>
    <row r="1031947" ht="10.5" customHeight="1"/>
    <row r="1031948" ht="10.5" customHeight="1"/>
    <row r="1031949" ht="10.5" customHeight="1"/>
    <row r="1031950" ht="10.5" customHeight="1"/>
    <row r="1031951" ht="10.5" customHeight="1"/>
    <row r="1031952" ht="10.5" customHeight="1"/>
    <row r="1031953" ht="10.5" customHeight="1"/>
    <row r="1031954" ht="10.5" customHeight="1"/>
    <row r="1031955" ht="10.5" customHeight="1"/>
    <row r="1031956" ht="10.5" customHeight="1"/>
    <row r="1031957" ht="10.5" customHeight="1"/>
    <row r="1031958" ht="10.5" customHeight="1"/>
    <row r="1031959" ht="10.5" customHeight="1"/>
    <row r="1031960" ht="10.5" customHeight="1"/>
    <row r="1031961" ht="10.5" customHeight="1"/>
    <row r="1031962" ht="10.5" customHeight="1"/>
    <row r="1031963" ht="10.5" customHeight="1"/>
    <row r="1031964" ht="10.5" customHeight="1"/>
    <row r="1031965" ht="10.5" customHeight="1"/>
    <row r="1031966" ht="10.5" customHeight="1"/>
    <row r="1031967" ht="10.5" customHeight="1"/>
    <row r="1031968" ht="10.5" customHeight="1"/>
    <row r="1031969" ht="10.5" customHeight="1"/>
    <row r="1031970" ht="10.5" customHeight="1"/>
    <row r="1031971" ht="10.5" customHeight="1"/>
    <row r="1031972" ht="10.5" customHeight="1"/>
    <row r="1031973" ht="10.5" customHeight="1"/>
    <row r="1031974" ht="10.5" customHeight="1"/>
    <row r="1031975" ht="10.5" customHeight="1"/>
    <row r="1031976" ht="10.5" customHeight="1"/>
    <row r="1031977" ht="10.5" customHeight="1"/>
    <row r="1031978" ht="10.5" customHeight="1"/>
    <row r="1031979" ht="10.5" customHeight="1"/>
    <row r="1031980" ht="10.5" customHeight="1"/>
    <row r="1031981" ht="10.5" customHeight="1"/>
    <row r="1031982" ht="10.5" customHeight="1"/>
    <row r="1031983" ht="10.5" customHeight="1"/>
    <row r="1031984" ht="10.5" customHeight="1"/>
    <row r="1031985" ht="10.5" customHeight="1"/>
    <row r="1031986" ht="10.5" customHeight="1"/>
    <row r="1031987" ht="10.5" customHeight="1"/>
    <row r="1031988" ht="10.5" customHeight="1"/>
    <row r="1031989" ht="10.5" customHeight="1"/>
    <row r="1031990" ht="10.5" customHeight="1"/>
    <row r="1031991" ht="10.5" customHeight="1"/>
    <row r="1031992" ht="10.5" customHeight="1"/>
    <row r="1031993" ht="10.5" customHeight="1"/>
    <row r="1031994" ht="10.5" customHeight="1"/>
    <row r="1031995" ht="10.5" customHeight="1"/>
    <row r="1031996" ht="10.5" customHeight="1"/>
    <row r="1031997" ht="10.5" customHeight="1"/>
    <row r="1031998" ht="10.5" customHeight="1"/>
    <row r="1031999" ht="10.5" customHeight="1"/>
    <row r="1032000" ht="10.5" customHeight="1"/>
    <row r="1032001" ht="10.5" customHeight="1"/>
    <row r="1032002" ht="10.5" customHeight="1"/>
    <row r="1032003" ht="10.5" customHeight="1"/>
    <row r="1032004" ht="10.5" customHeight="1"/>
    <row r="1032005" ht="10.5" customHeight="1"/>
    <row r="1032006" ht="10.5" customHeight="1"/>
    <row r="1032007" ht="10.5" customHeight="1"/>
    <row r="1032008" ht="10.5" customHeight="1"/>
    <row r="1032009" ht="10.5" customHeight="1"/>
    <row r="1032010" ht="10.5" customHeight="1"/>
    <row r="1032011" ht="10.5" customHeight="1"/>
    <row r="1032012" ht="10.5" customHeight="1"/>
    <row r="1032013" ht="10.5" customHeight="1"/>
    <row r="1032014" ht="10.5" customHeight="1"/>
    <row r="1032015" ht="10.5" customHeight="1"/>
    <row r="1032016" ht="10.5" customHeight="1"/>
    <row r="1032017" ht="10.5" customHeight="1"/>
    <row r="1032018" ht="10.5" customHeight="1"/>
    <row r="1032019" ht="10.5" customHeight="1"/>
    <row r="1032020" ht="10.5" customHeight="1"/>
    <row r="1032021" ht="10.5" customHeight="1"/>
    <row r="1032022" ht="10.5" customHeight="1"/>
    <row r="1032023" ht="10.5" customHeight="1"/>
    <row r="1032024" ht="10.5" customHeight="1"/>
    <row r="1032025" ht="10.5" customHeight="1"/>
    <row r="1032026" ht="10.5" customHeight="1"/>
    <row r="1032027" ht="10.5" customHeight="1"/>
    <row r="1032028" ht="10.5" customHeight="1"/>
    <row r="1032029" ht="10.5" customHeight="1"/>
    <row r="1032030" ht="10.5" customHeight="1"/>
    <row r="1032031" ht="10.5" customHeight="1"/>
    <row r="1032032" ht="10.5" customHeight="1"/>
    <row r="1032033" ht="10.5" customHeight="1"/>
    <row r="1032034" ht="10.5" customHeight="1"/>
    <row r="1032035" ht="10.5" customHeight="1"/>
    <row r="1032036" ht="10.5" customHeight="1"/>
    <row r="1032037" ht="10.5" customHeight="1"/>
    <row r="1032038" ht="10.5" customHeight="1"/>
    <row r="1032039" ht="10.5" customHeight="1"/>
    <row r="1032040" ht="10.5" customHeight="1"/>
    <row r="1032041" ht="10.5" customHeight="1"/>
    <row r="1032042" ht="10.5" customHeight="1"/>
    <row r="1032043" ht="10.5" customHeight="1"/>
    <row r="1032044" ht="10.5" customHeight="1"/>
    <row r="1032045" ht="10.5" customHeight="1"/>
    <row r="1032046" ht="10.5" customHeight="1"/>
    <row r="1032047" ht="10.5" customHeight="1"/>
    <row r="1032048" ht="10.5" customHeight="1"/>
    <row r="1032049" ht="10.5" customHeight="1"/>
    <row r="1032050" ht="10.5" customHeight="1"/>
    <row r="1032051" ht="10.5" customHeight="1"/>
    <row r="1032052" ht="10.5" customHeight="1"/>
    <row r="1032053" ht="10.5" customHeight="1"/>
    <row r="1032054" ht="10.5" customHeight="1"/>
    <row r="1032055" ht="10.5" customHeight="1"/>
    <row r="1032056" ht="10.5" customHeight="1"/>
    <row r="1032057" ht="10.5" customHeight="1"/>
    <row r="1032058" ht="10.5" customHeight="1"/>
    <row r="1032059" ht="10.5" customHeight="1"/>
    <row r="1032060" ht="10.5" customHeight="1"/>
    <row r="1032061" ht="10.5" customHeight="1"/>
    <row r="1032062" ht="10.5" customHeight="1"/>
    <row r="1032063" ht="10.5" customHeight="1"/>
    <row r="1032064" ht="10.5" customHeight="1"/>
    <row r="1032065" ht="10.5" customHeight="1"/>
    <row r="1032066" ht="10.5" customHeight="1"/>
    <row r="1032067" ht="10.5" customHeight="1"/>
    <row r="1032068" ht="10.5" customHeight="1"/>
    <row r="1032069" ht="10.5" customHeight="1"/>
    <row r="1032070" ht="10.5" customHeight="1"/>
    <row r="1032071" ht="10.5" customHeight="1"/>
    <row r="1032072" ht="10.5" customHeight="1"/>
    <row r="1032073" ht="10.5" customHeight="1"/>
    <row r="1032074" ht="10.5" customHeight="1"/>
    <row r="1032075" ht="10.5" customHeight="1"/>
    <row r="1032076" ht="10.5" customHeight="1"/>
    <row r="1032077" ht="10.5" customHeight="1"/>
    <row r="1032078" ht="10.5" customHeight="1"/>
    <row r="1032079" ht="10.5" customHeight="1"/>
    <row r="1032080" ht="10.5" customHeight="1"/>
    <row r="1032081" ht="10.5" customHeight="1"/>
    <row r="1032082" ht="10.5" customHeight="1"/>
    <row r="1032083" ht="10.5" customHeight="1"/>
    <row r="1032084" ht="10.5" customHeight="1"/>
    <row r="1032085" ht="10.5" customHeight="1"/>
    <row r="1032086" ht="10.5" customHeight="1"/>
    <row r="1032087" ht="10.5" customHeight="1"/>
    <row r="1032088" ht="10.5" customHeight="1"/>
    <row r="1032089" ht="10.5" customHeight="1"/>
    <row r="1032090" ht="10.5" customHeight="1"/>
    <row r="1032091" ht="10.5" customHeight="1"/>
    <row r="1032092" ht="10.5" customHeight="1"/>
    <row r="1032093" ht="10.5" customHeight="1"/>
    <row r="1032094" ht="10.5" customHeight="1"/>
    <row r="1032095" ht="10.5" customHeight="1"/>
    <row r="1032096" ht="10.5" customHeight="1"/>
    <row r="1032097" ht="10.5" customHeight="1"/>
    <row r="1032098" ht="10.5" customHeight="1"/>
    <row r="1032099" ht="10.5" customHeight="1"/>
    <row r="1032100" ht="10.5" customHeight="1"/>
    <row r="1032101" ht="10.5" customHeight="1"/>
    <row r="1032102" ht="10.5" customHeight="1"/>
    <row r="1032103" ht="10.5" customHeight="1"/>
    <row r="1032104" ht="10.5" customHeight="1"/>
    <row r="1032105" ht="10.5" customHeight="1"/>
    <row r="1032106" ht="10.5" customHeight="1"/>
    <row r="1032107" ht="10.5" customHeight="1"/>
    <row r="1032108" ht="10.5" customHeight="1"/>
    <row r="1032109" ht="10.5" customHeight="1"/>
    <row r="1032110" ht="10.5" customHeight="1"/>
    <row r="1032111" ht="10.5" customHeight="1"/>
    <row r="1032112" ht="10.5" customHeight="1"/>
    <row r="1032113" ht="10.5" customHeight="1"/>
    <row r="1032114" ht="10.5" customHeight="1"/>
    <row r="1032115" ht="10.5" customHeight="1"/>
    <row r="1032116" ht="10.5" customHeight="1"/>
    <row r="1032117" ht="10.5" customHeight="1"/>
    <row r="1032118" ht="10.5" customHeight="1"/>
    <row r="1032119" ht="10.5" customHeight="1"/>
    <row r="1032120" ht="10.5" customHeight="1"/>
    <row r="1032121" ht="10.5" customHeight="1"/>
    <row r="1032122" ht="10.5" customHeight="1"/>
    <row r="1032123" ht="10.5" customHeight="1"/>
    <row r="1032124" ht="10.5" customHeight="1"/>
    <row r="1032125" ht="10.5" customHeight="1"/>
    <row r="1032126" ht="10.5" customHeight="1"/>
    <row r="1032127" ht="10.5" customHeight="1"/>
    <row r="1032128" ht="10.5" customHeight="1"/>
    <row r="1032129" ht="10.5" customHeight="1"/>
    <row r="1032130" ht="10.5" customHeight="1"/>
    <row r="1032131" ht="10.5" customHeight="1"/>
    <row r="1032132" ht="10.5" customHeight="1"/>
    <row r="1032133" ht="10.5" customHeight="1"/>
    <row r="1032134" ht="10.5" customHeight="1"/>
    <row r="1032135" ht="10.5" customHeight="1"/>
    <row r="1032136" ht="10.5" customHeight="1"/>
    <row r="1032137" ht="10.5" customHeight="1"/>
    <row r="1032138" ht="10.5" customHeight="1"/>
    <row r="1032139" ht="10.5" customHeight="1"/>
    <row r="1032140" ht="10.5" customHeight="1"/>
    <row r="1032141" ht="10.5" customHeight="1"/>
    <row r="1032142" ht="10.5" customHeight="1"/>
    <row r="1032143" ht="10.5" customHeight="1"/>
    <row r="1032144" ht="10.5" customHeight="1"/>
    <row r="1032145" ht="10.5" customHeight="1"/>
    <row r="1032146" ht="10.5" customHeight="1"/>
    <row r="1032147" ht="10.5" customHeight="1"/>
    <row r="1032148" ht="10.5" customHeight="1"/>
    <row r="1032149" ht="10.5" customHeight="1"/>
    <row r="1032150" ht="10.5" customHeight="1"/>
    <row r="1032151" ht="10.5" customHeight="1"/>
    <row r="1032152" ht="10.5" customHeight="1"/>
    <row r="1032153" ht="10.5" customHeight="1"/>
    <row r="1032154" ht="10.5" customHeight="1"/>
    <row r="1032155" ht="10.5" customHeight="1"/>
    <row r="1032156" ht="10.5" customHeight="1"/>
    <row r="1032157" ht="10.5" customHeight="1"/>
    <row r="1032158" ht="10.5" customHeight="1"/>
    <row r="1032159" ht="10.5" customHeight="1"/>
    <row r="1032160" ht="10.5" customHeight="1"/>
    <row r="1032161" ht="10.5" customHeight="1"/>
    <row r="1032162" ht="10.5" customHeight="1"/>
    <row r="1032163" ht="10.5" customHeight="1"/>
    <row r="1032164" ht="10.5" customHeight="1"/>
    <row r="1032165" ht="10.5" customHeight="1"/>
    <row r="1032166" ht="10.5" customHeight="1"/>
    <row r="1032167" ht="10.5" customHeight="1"/>
    <row r="1032168" ht="10.5" customHeight="1"/>
    <row r="1032169" ht="10.5" customHeight="1"/>
    <row r="1032170" ht="10.5" customHeight="1"/>
    <row r="1032171" ht="10.5" customHeight="1"/>
    <row r="1032172" ht="10.5" customHeight="1"/>
    <row r="1032173" ht="10.5" customHeight="1"/>
    <row r="1032174" ht="10.5" customHeight="1"/>
    <row r="1032175" ht="10.5" customHeight="1"/>
    <row r="1032176" ht="10.5" customHeight="1"/>
    <row r="1032177" ht="10.5" customHeight="1"/>
    <row r="1032178" ht="10.5" customHeight="1"/>
    <row r="1032179" ht="10.5" customHeight="1"/>
    <row r="1032180" ht="10.5" customHeight="1"/>
    <row r="1032181" ht="10.5" customHeight="1"/>
    <row r="1032182" ht="10.5" customHeight="1"/>
    <row r="1032183" ht="10.5" customHeight="1"/>
    <row r="1032184" ht="10.5" customHeight="1"/>
    <row r="1032185" ht="10.5" customHeight="1"/>
    <row r="1032186" ht="10.5" customHeight="1"/>
    <row r="1032187" ht="10.5" customHeight="1"/>
    <row r="1032188" ht="10.5" customHeight="1"/>
    <row r="1032189" ht="10.5" customHeight="1"/>
    <row r="1032190" ht="10.5" customHeight="1"/>
    <row r="1032191" ht="10.5" customHeight="1"/>
    <row r="1032192" ht="10.5" customHeight="1"/>
    <row r="1032193" ht="10.5" customHeight="1"/>
    <row r="1032194" ht="10.5" customHeight="1"/>
    <row r="1032195" ht="10.5" customHeight="1"/>
    <row r="1032196" ht="10.5" customHeight="1"/>
    <row r="1032197" ht="10.5" customHeight="1"/>
    <row r="1032198" ht="10.5" customHeight="1"/>
    <row r="1032199" ht="10.5" customHeight="1"/>
    <row r="1032200" ht="10.5" customHeight="1"/>
    <row r="1032201" ht="10.5" customHeight="1"/>
    <row r="1032202" ht="10.5" customHeight="1"/>
    <row r="1032203" ht="10.5" customHeight="1"/>
    <row r="1032204" ht="10.5" customHeight="1"/>
    <row r="1032205" ht="10.5" customHeight="1"/>
    <row r="1032206" ht="10.5" customHeight="1"/>
    <row r="1032207" ht="10.5" customHeight="1"/>
    <row r="1032208" ht="10.5" customHeight="1"/>
    <row r="1032209" ht="10.5" customHeight="1"/>
    <row r="1032210" ht="10.5" customHeight="1"/>
    <row r="1032211" ht="10.5" customHeight="1"/>
    <row r="1032212" ht="10.5" customHeight="1"/>
    <row r="1032213" ht="10.5" customHeight="1"/>
    <row r="1032214" ht="10.5" customHeight="1"/>
    <row r="1032215" ht="10.5" customHeight="1"/>
    <row r="1032216" ht="10.5" customHeight="1"/>
    <row r="1032217" ht="10.5" customHeight="1"/>
    <row r="1032218" ht="10.5" customHeight="1"/>
    <row r="1032219" ht="10.5" customHeight="1"/>
    <row r="1032220" ht="10.5" customHeight="1"/>
    <row r="1032221" ht="10.5" customHeight="1"/>
    <row r="1032222" ht="10.5" customHeight="1"/>
    <row r="1032223" ht="10.5" customHeight="1"/>
    <row r="1032224" ht="10.5" customHeight="1"/>
    <row r="1032225" ht="10.5" customHeight="1"/>
    <row r="1032226" ht="10.5" customHeight="1"/>
    <row r="1032227" ht="10.5" customHeight="1"/>
    <row r="1032228" ht="10.5" customHeight="1"/>
    <row r="1032229" ht="10.5" customHeight="1"/>
    <row r="1032230" ht="10.5" customHeight="1"/>
    <row r="1032231" ht="10.5" customHeight="1"/>
    <row r="1032232" ht="10.5" customHeight="1"/>
    <row r="1032233" ht="10.5" customHeight="1"/>
    <row r="1032234" ht="10.5" customHeight="1"/>
    <row r="1032235" ht="10.5" customHeight="1"/>
    <row r="1032236" ht="10.5" customHeight="1"/>
    <row r="1032237" ht="10.5" customHeight="1"/>
    <row r="1032238" ht="10.5" customHeight="1"/>
    <row r="1032239" ht="10.5" customHeight="1"/>
    <row r="1032240" ht="10.5" customHeight="1"/>
    <row r="1032241" ht="10.5" customHeight="1"/>
    <row r="1032242" ht="10.5" customHeight="1"/>
    <row r="1032243" ht="10.5" customHeight="1"/>
    <row r="1032244" ht="10.5" customHeight="1"/>
    <row r="1032245" ht="10.5" customHeight="1"/>
    <row r="1032246" ht="10.5" customHeight="1"/>
    <row r="1032247" ht="10.5" customHeight="1"/>
    <row r="1032248" ht="10.5" customHeight="1"/>
    <row r="1032249" ht="10.5" customHeight="1"/>
    <row r="1032250" ht="10.5" customHeight="1"/>
    <row r="1032251" ht="10.5" customHeight="1"/>
    <row r="1032252" ht="10.5" customHeight="1"/>
    <row r="1032253" ht="10.5" customHeight="1"/>
    <row r="1032254" ht="10.5" customHeight="1"/>
    <row r="1032255" ht="10.5" customHeight="1"/>
    <row r="1032256" ht="10.5" customHeight="1"/>
    <row r="1032257" ht="10.5" customHeight="1"/>
    <row r="1032258" ht="10.5" customHeight="1"/>
    <row r="1032259" ht="10.5" customHeight="1"/>
    <row r="1032260" ht="10.5" customHeight="1"/>
    <row r="1032261" ht="10.5" customHeight="1"/>
    <row r="1032262" ht="10.5" customHeight="1"/>
    <row r="1032263" ht="10.5" customHeight="1"/>
    <row r="1032264" ht="10.5" customHeight="1"/>
    <row r="1032265" ht="10.5" customHeight="1"/>
    <row r="1032266" ht="10.5" customHeight="1"/>
    <row r="1032267" ht="10.5" customHeight="1"/>
    <row r="1032268" ht="10.5" customHeight="1"/>
    <row r="1032269" ht="10.5" customHeight="1"/>
    <row r="1032270" ht="10.5" customHeight="1"/>
    <row r="1032271" ht="10.5" customHeight="1"/>
    <row r="1032272" ht="10.5" customHeight="1"/>
    <row r="1032273" ht="10.5" customHeight="1"/>
    <row r="1032274" ht="10.5" customHeight="1"/>
    <row r="1032275" ht="10.5" customHeight="1"/>
    <row r="1032276" ht="10.5" customHeight="1"/>
    <row r="1032277" ht="10.5" customHeight="1"/>
    <row r="1032278" ht="10.5" customHeight="1"/>
    <row r="1032279" ht="10.5" customHeight="1"/>
    <row r="1032280" ht="10.5" customHeight="1"/>
    <row r="1032281" ht="10.5" customHeight="1"/>
    <row r="1032282" ht="10.5" customHeight="1"/>
    <row r="1032283" ht="10.5" customHeight="1"/>
    <row r="1032284" ht="10.5" customHeight="1"/>
    <row r="1032285" ht="10.5" customHeight="1"/>
    <row r="1032286" ht="10.5" customHeight="1"/>
    <row r="1032287" ht="10.5" customHeight="1"/>
    <row r="1032288" ht="10.5" customHeight="1"/>
    <row r="1032289" ht="10.5" customHeight="1"/>
    <row r="1032290" ht="10.5" customHeight="1"/>
    <row r="1032291" ht="10.5" customHeight="1"/>
    <row r="1032292" ht="10.5" customHeight="1"/>
    <row r="1032293" ht="10.5" customHeight="1"/>
    <row r="1032294" ht="10.5" customHeight="1"/>
    <row r="1032295" ht="10.5" customHeight="1"/>
    <row r="1032296" ht="10.5" customHeight="1"/>
    <row r="1032297" ht="10.5" customHeight="1"/>
    <row r="1032298" ht="10.5" customHeight="1"/>
    <row r="1032299" ht="10.5" customHeight="1"/>
    <row r="1032300" ht="10.5" customHeight="1"/>
    <row r="1032301" ht="10.5" customHeight="1"/>
    <row r="1032302" ht="10.5" customHeight="1"/>
    <row r="1032303" ht="10.5" customHeight="1"/>
    <row r="1032304" ht="10.5" customHeight="1"/>
    <row r="1032305" ht="10.5" customHeight="1"/>
    <row r="1032306" ht="10.5" customHeight="1"/>
    <row r="1032307" ht="10.5" customHeight="1"/>
    <row r="1032308" ht="10.5" customHeight="1"/>
    <row r="1032309" ht="10.5" customHeight="1"/>
    <row r="1032310" ht="10.5" customHeight="1"/>
    <row r="1032311" ht="10.5" customHeight="1"/>
    <row r="1032312" ht="10.5" customHeight="1"/>
    <row r="1032313" ht="10.5" customHeight="1"/>
    <row r="1032314" ht="10.5" customHeight="1"/>
    <row r="1032315" ht="10.5" customHeight="1"/>
    <row r="1032316" ht="10.5" customHeight="1"/>
    <row r="1032317" ht="10.5" customHeight="1"/>
    <row r="1032318" ht="10.5" customHeight="1"/>
    <row r="1032319" ht="10.5" customHeight="1"/>
    <row r="1032320" ht="10.5" customHeight="1"/>
    <row r="1032321" ht="10.5" customHeight="1"/>
    <row r="1032322" ht="10.5" customHeight="1"/>
    <row r="1032323" ht="10.5" customHeight="1"/>
    <row r="1032324" ht="10.5" customHeight="1"/>
    <row r="1032325" ht="10.5" customHeight="1"/>
    <row r="1032326" ht="10.5" customHeight="1"/>
    <row r="1032327" ht="10.5" customHeight="1"/>
    <row r="1032328" ht="10.5" customHeight="1"/>
    <row r="1032329" ht="10.5" customHeight="1"/>
    <row r="1032330" ht="10.5" customHeight="1"/>
    <row r="1032331" ht="10.5" customHeight="1"/>
    <row r="1032332" ht="10.5" customHeight="1"/>
    <row r="1032333" ht="10.5" customHeight="1"/>
    <row r="1032334" ht="10.5" customHeight="1"/>
    <row r="1032335" ht="10.5" customHeight="1"/>
    <row r="1032336" ht="10.5" customHeight="1"/>
    <row r="1032337" ht="10.5" customHeight="1"/>
    <row r="1032338" ht="10.5" customHeight="1"/>
    <row r="1032339" ht="10.5" customHeight="1"/>
    <row r="1032340" ht="10.5" customHeight="1"/>
    <row r="1032341" ht="10.5" customHeight="1"/>
    <row r="1032342" ht="10.5" customHeight="1"/>
    <row r="1032343" ht="10.5" customHeight="1"/>
    <row r="1032344" ht="10.5" customHeight="1"/>
    <row r="1032345" ht="10.5" customHeight="1"/>
    <row r="1032346" ht="10.5" customHeight="1"/>
    <row r="1032347" ht="10.5" customHeight="1"/>
    <row r="1032348" ht="10.5" customHeight="1"/>
    <row r="1032349" ht="10.5" customHeight="1"/>
    <row r="1032350" ht="10.5" customHeight="1"/>
    <row r="1032351" ht="10.5" customHeight="1"/>
    <row r="1032352" ht="10.5" customHeight="1"/>
    <row r="1032353" ht="10.5" customHeight="1"/>
    <row r="1032354" ht="10.5" customHeight="1"/>
    <row r="1032355" ht="10.5" customHeight="1"/>
    <row r="1032356" ht="10.5" customHeight="1"/>
    <row r="1032357" ht="10.5" customHeight="1"/>
    <row r="1032358" ht="10.5" customHeight="1"/>
    <row r="1032359" ht="10.5" customHeight="1"/>
    <row r="1032360" ht="10.5" customHeight="1"/>
    <row r="1032361" ht="10.5" customHeight="1"/>
    <row r="1032362" ht="10.5" customHeight="1"/>
    <row r="1032363" ht="10.5" customHeight="1"/>
    <row r="1032364" ht="10.5" customHeight="1"/>
    <row r="1032365" ht="10.5" customHeight="1"/>
    <row r="1032366" ht="10.5" customHeight="1"/>
    <row r="1032367" ht="10.5" customHeight="1"/>
    <row r="1032368" ht="10.5" customHeight="1"/>
    <row r="1032369" ht="10.5" customHeight="1"/>
    <row r="1032370" ht="10.5" customHeight="1"/>
    <row r="1032371" ht="10.5" customHeight="1"/>
    <row r="1032372" ht="10.5" customHeight="1"/>
    <row r="1032373" ht="10.5" customHeight="1"/>
    <row r="1032374" ht="10.5" customHeight="1"/>
    <row r="1032375" ht="10.5" customHeight="1"/>
    <row r="1032376" ht="10.5" customHeight="1"/>
    <row r="1032377" ht="10.5" customHeight="1"/>
    <row r="1032378" ht="10.5" customHeight="1"/>
    <row r="1032379" ht="10.5" customHeight="1"/>
    <row r="1032380" ht="10.5" customHeight="1"/>
    <row r="1032381" ht="10.5" customHeight="1"/>
    <row r="1032382" ht="10.5" customHeight="1"/>
    <row r="1032383" ht="10.5" customHeight="1"/>
    <row r="1032384" ht="10.5" customHeight="1"/>
    <row r="1032385" ht="10.5" customHeight="1"/>
    <row r="1032386" ht="10.5" customHeight="1"/>
    <row r="1032387" ht="10.5" customHeight="1"/>
    <row r="1032388" ht="10.5" customHeight="1"/>
    <row r="1032389" ht="10.5" customHeight="1"/>
    <row r="1032390" ht="10.5" customHeight="1"/>
    <row r="1032391" ht="10.5" customHeight="1"/>
    <row r="1032392" ht="10.5" customHeight="1"/>
    <row r="1032393" ht="10.5" customHeight="1"/>
    <row r="1032394" ht="10.5" customHeight="1"/>
    <row r="1032395" ht="10.5" customHeight="1"/>
    <row r="1032396" ht="10.5" customHeight="1"/>
    <row r="1032397" ht="10.5" customHeight="1"/>
    <row r="1032398" ht="10.5" customHeight="1"/>
    <row r="1032399" ht="10.5" customHeight="1"/>
    <row r="1032400" ht="10.5" customHeight="1"/>
    <row r="1032401" ht="10.5" customHeight="1"/>
    <row r="1032402" ht="10.5" customHeight="1"/>
    <row r="1032403" ht="10.5" customHeight="1"/>
    <row r="1032404" ht="10.5" customHeight="1"/>
    <row r="1032405" ht="10.5" customHeight="1"/>
    <row r="1032406" ht="10.5" customHeight="1"/>
    <row r="1032407" ht="10.5" customHeight="1"/>
    <row r="1032408" ht="10.5" customHeight="1"/>
    <row r="1032409" ht="10.5" customHeight="1"/>
    <row r="1032410" ht="10.5" customHeight="1"/>
    <row r="1032411" ht="10.5" customHeight="1"/>
    <row r="1032412" ht="10.5" customHeight="1"/>
    <row r="1032413" ht="10.5" customHeight="1"/>
    <row r="1032414" ht="10.5" customHeight="1"/>
    <row r="1032415" ht="10.5" customHeight="1"/>
    <row r="1032416" ht="10.5" customHeight="1"/>
    <row r="1032417" ht="10.5" customHeight="1"/>
    <row r="1032418" ht="10.5" customHeight="1"/>
    <row r="1032419" ht="10.5" customHeight="1"/>
    <row r="1032420" ht="10.5" customHeight="1"/>
    <row r="1032421" ht="10.5" customHeight="1"/>
    <row r="1032422" ht="10.5" customHeight="1"/>
    <row r="1032423" ht="10.5" customHeight="1"/>
    <row r="1032424" ht="10.5" customHeight="1"/>
    <row r="1032425" ht="10.5" customHeight="1"/>
    <row r="1032426" ht="10.5" customHeight="1"/>
    <row r="1032427" ht="10.5" customHeight="1"/>
    <row r="1032428" ht="10.5" customHeight="1"/>
    <row r="1032429" ht="10.5" customHeight="1"/>
    <row r="1032430" ht="10.5" customHeight="1"/>
    <row r="1032431" ht="10.5" customHeight="1"/>
    <row r="1032432" ht="10.5" customHeight="1"/>
    <row r="1032433" ht="10.5" customHeight="1"/>
    <row r="1032434" ht="10.5" customHeight="1"/>
    <row r="1032435" ht="10.5" customHeight="1"/>
    <row r="1032436" ht="10.5" customHeight="1"/>
    <row r="1032437" ht="10.5" customHeight="1"/>
    <row r="1032438" ht="10.5" customHeight="1"/>
    <row r="1032439" ht="10.5" customHeight="1"/>
    <row r="1032440" ht="10.5" customHeight="1"/>
    <row r="1032441" ht="10.5" customHeight="1"/>
    <row r="1032442" ht="10.5" customHeight="1"/>
    <row r="1032443" ht="10.5" customHeight="1"/>
    <row r="1032444" ht="10.5" customHeight="1"/>
    <row r="1032445" ht="10.5" customHeight="1"/>
    <row r="1032446" ht="10.5" customHeight="1"/>
    <row r="1032447" ht="10.5" customHeight="1"/>
    <row r="1032448" ht="10.5" customHeight="1"/>
    <row r="1032449" ht="10.5" customHeight="1"/>
    <row r="1032450" ht="10.5" customHeight="1"/>
    <row r="1032451" ht="10.5" customHeight="1"/>
    <row r="1032452" ht="10.5" customHeight="1"/>
    <row r="1032453" ht="10.5" customHeight="1"/>
    <row r="1032454" ht="10.5" customHeight="1"/>
    <row r="1032455" ht="10.5" customHeight="1"/>
    <row r="1032456" ht="10.5" customHeight="1"/>
    <row r="1032457" ht="10.5" customHeight="1"/>
    <row r="1032458" ht="10.5" customHeight="1"/>
    <row r="1032459" ht="10.5" customHeight="1"/>
    <row r="1032460" ht="10.5" customHeight="1"/>
    <row r="1032461" ht="10.5" customHeight="1"/>
    <row r="1032462" ht="10.5" customHeight="1"/>
    <row r="1032463" ht="10.5" customHeight="1"/>
    <row r="1032464" ht="10.5" customHeight="1"/>
    <row r="1032465" ht="10.5" customHeight="1"/>
    <row r="1032466" ht="10.5" customHeight="1"/>
    <row r="1032467" ht="10.5" customHeight="1"/>
    <row r="1032468" ht="10.5" customHeight="1"/>
    <row r="1032469" ht="10.5" customHeight="1"/>
    <row r="1032470" ht="10.5" customHeight="1"/>
    <row r="1032471" ht="10.5" customHeight="1"/>
    <row r="1032472" ht="10.5" customHeight="1"/>
    <row r="1032473" ht="10.5" customHeight="1"/>
    <row r="1032474" ht="10.5" customHeight="1"/>
    <row r="1032475" ht="10.5" customHeight="1"/>
    <row r="1032476" ht="10.5" customHeight="1"/>
    <row r="1032477" ht="10.5" customHeight="1"/>
    <row r="1032478" ht="10.5" customHeight="1"/>
    <row r="1032479" ht="10.5" customHeight="1"/>
    <row r="1032480" ht="10.5" customHeight="1"/>
    <row r="1032481" ht="10.5" customHeight="1"/>
    <row r="1032482" ht="10.5" customHeight="1"/>
    <row r="1032483" ht="10.5" customHeight="1"/>
    <row r="1032484" ht="10.5" customHeight="1"/>
    <row r="1032485" ht="10.5" customHeight="1"/>
    <row r="1032486" ht="10.5" customHeight="1"/>
    <row r="1032487" ht="10.5" customHeight="1"/>
    <row r="1032488" ht="10.5" customHeight="1"/>
    <row r="1032489" ht="10.5" customHeight="1"/>
    <row r="1032490" ht="10.5" customHeight="1"/>
    <row r="1032491" ht="10.5" customHeight="1"/>
    <row r="1032492" ht="10.5" customHeight="1"/>
    <row r="1032493" ht="10.5" customHeight="1"/>
    <row r="1032494" ht="10.5" customHeight="1"/>
    <row r="1032495" ht="10.5" customHeight="1"/>
    <row r="1032496" ht="10.5" customHeight="1"/>
    <row r="1032497" ht="10.5" customHeight="1"/>
    <row r="1032498" ht="10.5" customHeight="1"/>
    <row r="1032499" ht="10.5" customHeight="1"/>
    <row r="1032500" ht="10.5" customHeight="1"/>
    <row r="1032501" ht="10.5" customHeight="1"/>
    <row r="1032502" ht="10.5" customHeight="1"/>
    <row r="1032503" ht="10.5" customHeight="1"/>
    <row r="1032504" ht="10.5" customHeight="1"/>
    <row r="1032505" ht="10.5" customHeight="1"/>
    <row r="1032506" ht="10.5" customHeight="1"/>
    <row r="1032507" ht="10.5" customHeight="1"/>
    <row r="1032508" ht="10.5" customHeight="1"/>
    <row r="1032509" ht="10.5" customHeight="1"/>
    <row r="1032510" ht="10.5" customHeight="1"/>
    <row r="1032511" ht="10.5" customHeight="1"/>
    <row r="1032512" ht="10.5" customHeight="1"/>
    <row r="1032513" ht="10.5" customHeight="1"/>
    <row r="1032514" ht="10.5" customHeight="1"/>
    <row r="1032515" ht="10.5" customHeight="1"/>
    <row r="1032516" ht="10.5" customHeight="1"/>
    <row r="1032517" ht="10.5" customHeight="1"/>
    <row r="1032518" ht="10.5" customHeight="1"/>
    <row r="1032519" ht="10.5" customHeight="1"/>
    <row r="1032520" ht="10.5" customHeight="1"/>
    <row r="1032521" ht="10.5" customHeight="1"/>
    <row r="1032522" ht="10.5" customHeight="1"/>
    <row r="1032523" ht="10.5" customHeight="1"/>
    <row r="1032524" ht="10.5" customHeight="1"/>
    <row r="1032525" ht="10.5" customHeight="1"/>
    <row r="1032526" ht="10.5" customHeight="1"/>
    <row r="1032527" ht="10.5" customHeight="1"/>
    <row r="1032528" ht="10.5" customHeight="1"/>
    <row r="1032529" ht="10.5" customHeight="1"/>
    <row r="1032530" ht="10.5" customHeight="1"/>
    <row r="1032531" ht="10.5" customHeight="1"/>
    <row r="1032532" ht="10.5" customHeight="1"/>
    <row r="1032533" ht="10.5" customHeight="1"/>
    <row r="1032534" ht="10.5" customHeight="1"/>
    <row r="1032535" ht="10.5" customHeight="1"/>
    <row r="1032536" ht="10.5" customHeight="1"/>
    <row r="1032537" ht="10.5" customHeight="1"/>
    <row r="1032538" ht="10.5" customHeight="1"/>
    <row r="1032539" ht="10.5" customHeight="1"/>
    <row r="1032540" ht="10.5" customHeight="1"/>
    <row r="1032541" ht="10.5" customHeight="1"/>
    <row r="1032542" ht="10.5" customHeight="1"/>
    <row r="1032543" ht="10.5" customHeight="1"/>
    <row r="1032544" ht="10.5" customHeight="1"/>
    <row r="1032545" ht="10.5" customHeight="1"/>
    <row r="1032546" ht="10.5" customHeight="1"/>
    <row r="1032547" ht="10.5" customHeight="1"/>
    <row r="1032548" ht="10.5" customHeight="1"/>
    <row r="1032549" ht="10.5" customHeight="1"/>
    <row r="1032550" ht="10.5" customHeight="1"/>
    <row r="1032551" ht="10.5" customHeight="1"/>
    <row r="1032552" ht="10.5" customHeight="1"/>
    <row r="1032553" ht="10.5" customHeight="1"/>
    <row r="1032554" ht="10.5" customHeight="1"/>
    <row r="1032555" ht="10.5" customHeight="1"/>
    <row r="1032556" ht="10.5" customHeight="1"/>
    <row r="1032557" ht="10.5" customHeight="1"/>
    <row r="1032558" ht="10.5" customHeight="1"/>
    <row r="1032559" ht="10.5" customHeight="1"/>
    <row r="1032560" ht="10.5" customHeight="1"/>
    <row r="1032561" ht="10.5" customHeight="1"/>
    <row r="1032562" ht="10.5" customHeight="1"/>
    <row r="1032563" ht="10.5" customHeight="1"/>
    <row r="1032564" ht="10.5" customHeight="1"/>
    <row r="1032565" ht="10.5" customHeight="1"/>
    <row r="1032566" ht="10.5" customHeight="1"/>
    <row r="1032567" ht="10.5" customHeight="1"/>
    <row r="1032568" ht="10.5" customHeight="1"/>
    <row r="1032569" ht="10.5" customHeight="1"/>
    <row r="1032570" ht="10.5" customHeight="1"/>
    <row r="1032571" ht="10.5" customHeight="1"/>
    <row r="1032572" ht="10.5" customHeight="1"/>
    <row r="1032573" ht="10.5" customHeight="1"/>
    <row r="1032574" ht="10.5" customHeight="1"/>
    <row r="1032575" ht="10.5" customHeight="1"/>
    <row r="1032576" ht="10.5" customHeight="1"/>
    <row r="1032577" ht="10.5" customHeight="1"/>
    <row r="1032578" ht="10.5" customHeight="1"/>
    <row r="1032579" ht="10.5" customHeight="1"/>
    <row r="1032580" ht="10.5" customHeight="1"/>
    <row r="1032581" ht="10.5" customHeight="1"/>
    <row r="1032582" ht="10.5" customHeight="1"/>
    <row r="1032583" ht="10.5" customHeight="1"/>
    <row r="1032584" ht="10.5" customHeight="1"/>
    <row r="1032585" ht="10.5" customHeight="1"/>
    <row r="1032586" ht="10.5" customHeight="1"/>
    <row r="1032587" ht="10.5" customHeight="1"/>
    <row r="1032588" ht="10.5" customHeight="1"/>
    <row r="1032589" ht="10.5" customHeight="1"/>
    <row r="1032590" ht="10.5" customHeight="1"/>
    <row r="1032591" ht="10.5" customHeight="1"/>
    <row r="1032592" ht="10.5" customHeight="1"/>
    <row r="1032593" ht="10.5" customHeight="1"/>
    <row r="1032594" ht="10.5" customHeight="1"/>
    <row r="1032595" ht="10.5" customHeight="1"/>
    <row r="1032596" ht="10.5" customHeight="1"/>
    <row r="1032597" ht="10.5" customHeight="1"/>
    <row r="1032598" ht="10.5" customHeight="1"/>
    <row r="1032599" ht="10.5" customHeight="1"/>
    <row r="1032600" ht="10.5" customHeight="1"/>
    <row r="1032601" ht="10.5" customHeight="1"/>
    <row r="1032602" ht="10.5" customHeight="1"/>
    <row r="1032603" ht="10.5" customHeight="1"/>
    <row r="1032604" ht="10.5" customHeight="1"/>
    <row r="1032605" ht="10.5" customHeight="1"/>
    <row r="1032606" ht="10.5" customHeight="1"/>
    <row r="1032607" ht="10.5" customHeight="1"/>
    <row r="1032608" ht="10.5" customHeight="1"/>
    <row r="1032609" ht="10.5" customHeight="1"/>
    <row r="1032610" ht="10.5" customHeight="1"/>
    <row r="1032611" ht="10.5" customHeight="1"/>
    <row r="1032612" ht="10.5" customHeight="1"/>
    <row r="1032613" ht="10.5" customHeight="1"/>
    <row r="1032614" ht="10.5" customHeight="1"/>
    <row r="1032615" ht="10.5" customHeight="1"/>
    <row r="1032616" ht="10.5" customHeight="1"/>
    <row r="1032617" ht="10.5" customHeight="1"/>
    <row r="1032618" ht="10.5" customHeight="1"/>
    <row r="1032619" ht="10.5" customHeight="1"/>
    <row r="1032620" ht="10.5" customHeight="1"/>
    <row r="1032621" ht="10.5" customHeight="1"/>
    <row r="1032622" ht="10.5" customHeight="1"/>
    <row r="1032623" ht="10.5" customHeight="1"/>
    <row r="1032624" ht="10.5" customHeight="1"/>
    <row r="1032625" ht="10.5" customHeight="1"/>
    <row r="1032626" ht="10.5" customHeight="1"/>
    <row r="1032627" ht="10.5" customHeight="1"/>
    <row r="1032628" ht="10.5" customHeight="1"/>
    <row r="1032629" ht="10.5" customHeight="1"/>
    <row r="1032630" ht="10.5" customHeight="1"/>
    <row r="1032631" ht="10.5" customHeight="1"/>
    <row r="1032632" ht="10.5" customHeight="1"/>
    <row r="1032633" ht="10.5" customHeight="1"/>
    <row r="1032634" ht="10.5" customHeight="1"/>
    <row r="1032635" ht="10.5" customHeight="1"/>
    <row r="1032636" ht="10.5" customHeight="1"/>
    <row r="1032637" ht="10.5" customHeight="1"/>
    <row r="1032638" ht="10.5" customHeight="1"/>
    <row r="1032639" ht="10.5" customHeight="1"/>
    <row r="1032640" ht="10.5" customHeight="1"/>
    <row r="1032641" ht="10.5" customHeight="1"/>
    <row r="1032642" ht="10.5" customHeight="1"/>
    <row r="1032643" ht="10.5" customHeight="1"/>
    <row r="1032644" ht="10.5" customHeight="1"/>
    <row r="1032645" ht="10.5" customHeight="1"/>
    <row r="1032646" ht="10.5" customHeight="1"/>
    <row r="1032647" ht="10.5" customHeight="1"/>
    <row r="1032648" ht="10.5" customHeight="1"/>
    <row r="1032649" ht="10.5" customHeight="1"/>
    <row r="1032650" ht="10.5" customHeight="1"/>
    <row r="1032651" ht="10.5" customHeight="1"/>
    <row r="1032652" ht="10.5" customHeight="1"/>
    <row r="1032653" ht="10.5" customHeight="1"/>
    <row r="1032654" ht="10.5" customHeight="1"/>
    <row r="1032655" ht="10.5" customHeight="1"/>
    <row r="1032656" ht="10.5" customHeight="1"/>
    <row r="1032657" ht="10.5" customHeight="1"/>
    <row r="1032658" ht="10.5" customHeight="1"/>
    <row r="1032659" ht="10.5" customHeight="1"/>
    <row r="1032660" ht="10.5" customHeight="1"/>
    <row r="1032661" ht="10.5" customHeight="1"/>
    <row r="1032662" ht="10.5" customHeight="1"/>
    <row r="1032663" ht="10.5" customHeight="1"/>
    <row r="1032664" ht="10.5" customHeight="1"/>
    <row r="1032665" ht="10.5" customHeight="1"/>
    <row r="1032666" ht="10.5" customHeight="1"/>
    <row r="1032667" ht="10.5" customHeight="1"/>
    <row r="1032668" ht="10.5" customHeight="1"/>
    <row r="1032669" ht="10.5" customHeight="1"/>
    <row r="1032670" ht="10.5" customHeight="1"/>
    <row r="1032671" ht="10.5" customHeight="1"/>
    <row r="1032672" ht="10.5" customHeight="1"/>
    <row r="1032673" ht="10.5" customHeight="1"/>
    <row r="1032674" ht="10.5" customHeight="1"/>
    <row r="1032675" ht="10.5" customHeight="1"/>
    <row r="1032676" ht="10.5" customHeight="1"/>
    <row r="1032677" ht="10.5" customHeight="1"/>
    <row r="1032678" ht="10.5" customHeight="1"/>
    <row r="1032679" ht="10.5" customHeight="1"/>
    <row r="1032680" ht="10.5" customHeight="1"/>
    <row r="1032681" ht="10.5" customHeight="1"/>
    <row r="1032682" ht="10.5" customHeight="1"/>
    <row r="1032683" ht="10.5" customHeight="1"/>
    <row r="1032684" ht="10.5" customHeight="1"/>
    <row r="1032685" ht="10.5" customHeight="1"/>
    <row r="1032686" ht="10.5" customHeight="1"/>
    <row r="1032687" ht="10.5" customHeight="1"/>
    <row r="1032688" ht="10.5" customHeight="1"/>
    <row r="1032689" ht="10.5" customHeight="1"/>
    <row r="1032690" ht="10.5" customHeight="1"/>
    <row r="1032691" ht="10.5" customHeight="1"/>
    <row r="1032692" ht="10.5" customHeight="1"/>
    <row r="1032693" ht="10.5" customHeight="1"/>
    <row r="1032694" ht="10.5" customHeight="1"/>
    <row r="1032695" ht="10.5" customHeight="1"/>
    <row r="1032696" ht="10.5" customHeight="1"/>
    <row r="1032697" ht="10.5" customHeight="1"/>
    <row r="1032698" ht="10.5" customHeight="1"/>
    <row r="1032699" ht="10.5" customHeight="1"/>
    <row r="1032700" ht="10.5" customHeight="1"/>
    <row r="1032701" ht="10.5" customHeight="1"/>
    <row r="1032702" ht="10.5" customHeight="1"/>
    <row r="1032703" ht="10.5" customHeight="1"/>
    <row r="1032704" ht="10.5" customHeight="1"/>
    <row r="1032705" ht="10.5" customHeight="1"/>
    <row r="1032706" ht="10.5" customHeight="1"/>
    <row r="1032707" ht="10.5" customHeight="1"/>
    <row r="1032708" ht="10.5" customHeight="1"/>
    <row r="1032709" ht="10.5" customHeight="1"/>
    <row r="1032710" ht="10.5" customHeight="1"/>
    <row r="1032711" ht="10.5" customHeight="1"/>
    <row r="1032712" ht="10.5" customHeight="1"/>
    <row r="1032713" ht="10.5" customHeight="1"/>
    <row r="1032714" ht="10.5" customHeight="1"/>
    <row r="1032715" ht="10.5" customHeight="1"/>
    <row r="1032716" ht="10.5" customHeight="1"/>
    <row r="1032717" ht="10.5" customHeight="1"/>
    <row r="1032718" ht="10.5" customHeight="1"/>
    <row r="1032719" ht="10.5" customHeight="1"/>
    <row r="1032720" ht="10.5" customHeight="1"/>
    <row r="1032721" ht="10.5" customHeight="1"/>
    <row r="1032722" ht="10.5" customHeight="1"/>
    <row r="1032723" ht="10.5" customHeight="1"/>
    <row r="1032724" ht="10.5" customHeight="1"/>
    <row r="1032725" ht="10.5" customHeight="1"/>
    <row r="1032726" ht="10.5" customHeight="1"/>
    <row r="1032727" ht="10.5" customHeight="1"/>
    <row r="1032728" ht="10.5" customHeight="1"/>
    <row r="1032729" ht="10.5" customHeight="1"/>
    <row r="1032730" ht="10.5" customHeight="1"/>
    <row r="1032731" ht="10.5" customHeight="1"/>
    <row r="1032732" ht="10.5" customHeight="1"/>
    <row r="1032733" ht="10.5" customHeight="1"/>
    <row r="1032734" ht="10.5" customHeight="1"/>
    <row r="1032735" ht="10.5" customHeight="1"/>
    <row r="1032736" ht="10.5" customHeight="1"/>
    <row r="1032737" ht="10.5" customHeight="1"/>
    <row r="1032738" ht="10.5" customHeight="1"/>
    <row r="1032739" ht="10.5" customHeight="1"/>
    <row r="1032740" ht="10.5" customHeight="1"/>
    <row r="1032741" ht="10.5" customHeight="1"/>
    <row r="1032742" ht="10.5" customHeight="1"/>
    <row r="1032743" ht="10.5" customHeight="1"/>
    <row r="1032744" ht="10.5" customHeight="1"/>
    <row r="1032745" ht="10.5" customHeight="1"/>
    <row r="1032746" ht="10.5" customHeight="1"/>
    <row r="1032747" ht="10.5" customHeight="1"/>
    <row r="1032748" ht="10.5" customHeight="1"/>
    <row r="1032749" ht="10.5" customHeight="1"/>
    <row r="1032750" ht="10.5" customHeight="1"/>
    <row r="1032751" ht="10.5" customHeight="1"/>
    <row r="1032752" ht="10.5" customHeight="1"/>
    <row r="1032753" ht="10.5" customHeight="1"/>
    <row r="1032754" ht="10.5" customHeight="1"/>
    <row r="1032755" ht="10.5" customHeight="1"/>
    <row r="1032756" ht="10.5" customHeight="1"/>
    <row r="1032757" ht="10.5" customHeight="1"/>
    <row r="1032758" ht="10.5" customHeight="1"/>
    <row r="1032759" ht="10.5" customHeight="1"/>
    <row r="1032760" ht="10.5" customHeight="1"/>
    <row r="1032761" ht="10.5" customHeight="1"/>
    <row r="1032762" ht="10.5" customHeight="1"/>
    <row r="1032763" ht="10.5" customHeight="1"/>
    <row r="1032764" ht="10.5" customHeight="1"/>
    <row r="1032765" ht="10.5" customHeight="1"/>
    <row r="1032766" ht="10.5" customHeight="1"/>
    <row r="1032767" ht="10.5" customHeight="1"/>
    <row r="1032768" ht="10.5" customHeight="1"/>
    <row r="1032769" ht="10.5" customHeight="1"/>
    <row r="1032770" ht="10.5" customHeight="1"/>
    <row r="1032771" ht="10.5" customHeight="1"/>
    <row r="1032772" ht="10.5" customHeight="1"/>
    <row r="1032773" ht="10.5" customHeight="1"/>
    <row r="1032774" ht="10.5" customHeight="1"/>
    <row r="1032775" ht="10.5" customHeight="1"/>
    <row r="1032776" ht="10.5" customHeight="1"/>
    <row r="1032777" ht="10.5" customHeight="1"/>
    <row r="1032778" ht="10.5" customHeight="1"/>
    <row r="1032779" ht="10.5" customHeight="1"/>
    <row r="1032780" ht="10.5" customHeight="1"/>
    <row r="1032781" ht="10.5" customHeight="1"/>
    <row r="1032782" ht="10.5" customHeight="1"/>
    <row r="1032783" ht="10.5" customHeight="1"/>
    <row r="1032784" ht="10.5" customHeight="1"/>
    <row r="1032785" ht="10.5" customHeight="1"/>
    <row r="1032786" ht="10.5" customHeight="1"/>
    <row r="1032787" ht="10.5" customHeight="1"/>
    <row r="1032788" ht="10.5" customHeight="1"/>
    <row r="1032789" ht="10.5" customHeight="1"/>
    <row r="1032790" ht="10.5" customHeight="1"/>
    <row r="1032791" ht="10.5" customHeight="1"/>
    <row r="1032792" ht="10.5" customHeight="1"/>
    <row r="1032793" ht="10.5" customHeight="1"/>
    <row r="1032794" ht="10.5" customHeight="1"/>
    <row r="1032795" ht="10.5" customHeight="1"/>
    <row r="1032796" ht="10.5" customHeight="1"/>
    <row r="1032797" ht="10.5" customHeight="1"/>
    <row r="1032798" ht="10.5" customHeight="1"/>
    <row r="1032799" ht="10.5" customHeight="1"/>
    <row r="1032800" ht="10.5" customHeight="1"/>
    <row r="1032801" ht="10.5" customHeight="1"/>
    <row r="1032802" ht="10.5" customHeight="1"/>
    <row r="1032803" ht="10.5" customHeight="1"/>
    <row r="1032804" ht="10.5" customHeight="1"/>
    <row r="1032805" ht="10.5" customHeight="1"/>
    <row r="1032806" ht="10.5" customHeight="1"/>
    <row r="1032807" ht="10.5" customHeight="1"/>
    <row r="1032808" ht="10.5" customHeight="1"/>
    <row r="1032809" ht="10.5" customHeight="1"/>
    <row r="1032810" ht="10.5" customHeight="1"/>
    <row r="1032811" ht="10.5" customHeight="1"/>
    <row r="1032812" ht="10.5" customHeight="1"/>
    <row r="1032813" ht="10.5" customHeight="1"/>
    <row r="1032814" ht="10.5" customHeight="1"/>
    <row r="1032815" ht="10.5" customHeight="1"/>
    <row r="1032816" ht="10.5" customHeight="1"/>
    <row r="1032817" ht="10.5" customHeight="1"/>
    <row r="1032818" ht="10.5" customHeight="1"/>
    <row r="1032819" ht="10.5" customHeight="1"/>
    <row r="1032820" ht="10.5" customHeight="1"/>
    <row r="1032821" ht="10.5" customHeight="1"/>
    <row r="1032822" ht="10.5" customHeight="1"/>
    <row r="1032823" ht="10.5" customHeight="1"/>
    <row r="1032824" ht="10.5" customHeight="1"/>
    <row r="1032825" ht="10.5" customHeight="1"/>
    <row r="1032826" ht="10.5" customHeight="1"/>
    <row r="1032827" ht="10.5" customHeight="1"/>
    <row r="1032828" ht="10.5" customHeight="1"/>
    <row r="1032829" ht="10.5" customHeight="1"/>
    <row r="1032830" ht="10.5" customHeight="1"/>
    <row r="1032831" ht="10.5" customHeight="1"/>
    <row r="1032832" ht="10.5" customHeight="1"/>
    <row r="1032833" ht="10.5" customHeight="1"/>
    <row r="1032834" ht="10.5" customHeight="1"/>
    <row r="1032835" ht="10.5" customHeight="1"/>
    <row r="1032836" ht="10.5" customHeight="1"/>
    <row r="1032837" ht="10.5" customHeight="1"/>
    <row r="1032838" ht="10.5" customHeight="1"/>
    <row r="1032839" ht="10.5" customHeight="1"/>
    <row r="1032840" ht="10.5" customHeight="1"/>
    <row r="1032841" ht="10.5" customHeight="1"/>
    <row r="1032842" ht="10.5" customHeight="1"/>
    <row r="1032843" ht="10.5" customHeight="1"/>
    <row r="1032844" ht="10.5" customHeight="1"/>
    <row r="1032845" ht="10.5" customHeight="1"/>
    <row r="1032846" ht="10.5" customHeight="1"/>
    <row r="1032847" ht="10.5" customHeight="1"/>
    <row r="1032848" ht="10.5" customHeight="1"/>
    <row r="1032849" ht="10.5" customHeight="1"/>
    <row r="1032850" ht="10.5" customHeight="1"/>
    <row r="1032851" ht="10.5" customHeight="1"/>
    <row r="1032852" ht="10.5" customHeight="1"/>
    <row r="1032853" ht="10.5" customHeight="1"/>
    <row r="1032854" ht="10.5" customHeight="1"/>
    <row r="1032855" ht="10.5" customHeight="1"/>
    <row r="1032856" ht="10.5" customHeight="1"/>
    <row r="1032857" ht="10.5" customHeight="1"/>
    <row r="1032858" ht="10.5" customHeight="1"/>
    <row r="1032859" ht="10.5" customHeight="1"/>
    <row r="1032860" ht="10.5" customHeight="1"/>
    <row r="1032861" ht="10.5" customHeight="1"/>
    <row r="1032862" ht="10.5" customHeight="1"/>
    <row r="1032863" ht="10.5" customHeight="1"/>
    <row r="1032864" ht="10.5" customHeight="1"/>
    <row r="1032865" ht="10.5" customHeight="1"/>
    <row r="1032866" ht="10.5" customHeight="1"/>
    <row r="1032867" ht="10.5" customHeight="1"/>
    <row r="1032868" ht="10.5" customHeight="1"/>
    <row r="1032869" ht="10.5" customHeight="1"/>
    <row r="1032870" ht="10.5" customHeight="1"/>
    <row r="1032871" ht="10.5" customHeight="1"/>
    <row r="1032872" ht="10.5" customHeight="1"/>
    <row r="1032873" ht="10.5" customHeight="1"/>
    <row r="1032874" ht="10.5" customHeight="1"/>
    <row r="1032875" ht="10.5" customHeight="1"/>
    <row r="1032876" ht="10.5" customHeight="1"/>
    <row r="1032877" ht="10.5" customHeight="1"/>
    <row r="1032878" ht="10.5" customHeight="1"/>
    <row r="1032879" ht="10.5" customHeight="1"/>
    <row r="1032880" ht="10.5" customHeight="1"/>
    <row r="1032881" ht="10.5" customHeight="1"/>
    <row r="1032882" ht="10.5" customHeight="1"/>
    <row r="1032883" ht="10.5" customHeight="1"/>
    <row r="1032884" ht="10.5" customHeight="1"/>
    <row r="1032885" ht="10.5" customHeight="1"/>
    <row r="1032886" ht="10.5" customHeight="1"/>
    <row r="1032887" ht="10.5" customHeight="1"/>
    <row r="1032888" ht="10.5" customHeight="1"/>
    <row r="1032889" ht="10.5" customHeight="1"/>
    <row r="1032890" ht="10.5" customHeight="1"/>
    <row r="1032891" ht="10.5" customHeight="1"/>
    <row r="1032892" ht="10.5" customHeight="1"/>
    <row r="1032893" ht="10.5" customHeight="1"/>
    <row r="1032894" ht="10.5" customHeight="1"/>
    <row r="1032895" ht="10.5" customHeight="1"/>
    <row r="1032896" ht="10.5" customHeight="1"/>
    <row r="1032897" ht="10.5" customHeight="1"/>
    <row r="1032898" ht="10.5" customHeight="1"/>
    <row r="1032899" ht="10.5" customHeight="1"/>
    <row r="1032900" ht="10.5" customHeight="1"/>
    <row r="1032901" ht="10.5" customHeight="1"/>
    <row r="1032902" ht="10.5" customHeight="1"/>
    <row r="1032903" ht="10.5" customHeight="1"/>
    <row r="1032904" ht="10.5" customHeight="1"/>
    <row r="1032905" ht="10.5" customHeight="1"/>
    <row r="1032906" ht="10.5" customHeight="1"/>
    <row r="1032907" ht="10.5" customHeight="1"/>
    <row r="1032908" ht="10.5" customHeight="1"/>
    <row r="1032909" ht="10.5" customHeight="1"/>
    <row r="1032910" ht="10.5" customHeight="1"/>
    <row r="1032911" ht="10.5" customHeight="1"/>
    <row r="1032912" ht="10.5" customHeight="1"/>
    <row r="1032913" ht="10.5" customHeight="1"/>
    <row r="1032914" ht="10.5" customHeight="1"/>
    <row r="1032915" ht="10.5" customHeight="1"/>
    <row r="1032916" ht="10.5" customHeight="1"/>
    <row r="1032917" ht="10.5" customHeight="1"/>
    <row r="1032918" ht="10.5" customHeight="1"/>
    <row r="1032919" ht="10.5" customHeight="1"/>
    <row r="1032920" ht="10.5" customHeight="1"/>
    <row r="1032921" ht="10.5" customHeight="1"/>
    <row r="1032922" ht="10.5" customHeight="1"/>
    <row r="1032923" ht="10.5" customHeight="1"/>
    <row r="1032924" ht="10.5" customHeight="1"/>
    <row r="1032925" ht="10.5" customHeight="1"/>
    <row r="1032926" ht="10.5" customHeight="1"/>
    <row r="1032927" ht="10.5" customHeight="1"/>
    <row r="1032928" ht="10.5" customHeight="1"/>
    <row r="1032929" ht="10.5" customHeight="1"/>
    <row r="1032930" ht="10.5" customHeight="1"/>
    <row r="1032931" ht="10.5" customHeight="1"/>
    <row r="1032932" ht="10.5" customHeight="1"/>
    <row r="1032933" ht="10.5" customHeight="1"/>
    <row r="1032934" ht="10.5" customHeight="1"/>
    <row r="1032935" ht="10.5" customHeight="1"/>
    <row r="1032936" ht="10.5" customHeight="1"/>
    <row r="1032937" ht="10.5" customHeight="1"/>
    <row r="1032938" ht="10.5" customHeight="1"/>
    <row r="1032939" ht="10.5" customHeight="1"/>
    <row r="1032940" ht="10.5" customHeight="1"/>
    <row r="1032941" ht="10.5" customHeight="1"/>
    <row r="1032942" ht="10.5" customHeight="1"/>
    <row r="1032943" ht="10.5" customHeight="1"/>
    <row r="1032944" ht="10.5" customHeight="1"/>
    <row r="1032945" ht="10.5" customHeight="1"/>
    <row r="1032946" ht="10.5" customHeight="1"/>
    <row r="1032947" ht="10.5" customHeight="1"/>
    <row r="1032948" ht="10.5" customHeight="1"/>
    <row r="1032949" ht="10.5" customHeight="1"/>
    <row r="1032950" ht="10.5" customHeight="1"/>
    <row r="1032951" ht="10.5" customHeight="1"/>
    <row r="1032952" ht="10.5" customHeight="1"/>
    <row r="1032953" ht="10.5" customHeight="1"/>
    <row r="1032954" ht="10.5" customHeight="1"/>
    <row r="1032955" ht="10.5" customHeight="1"/>
    <row r="1032956" ht="10.5" customHeight="1"/>
    <row r="1032957" ht="10.5" customHeight="1"/>
    <row r="1032958" ht="10.5" customHeight="1"/>
    <row r="1032959" ht="10.5" customHeight="1"/>
    <row r="1032960" ht="10.5" customHeight="1"/>
    <row r="1032961" ht="10.5" customHeight="1"/>
    <row r="1032962" ht="10.5" customHeight="1"/>
    <row r="1032963" ht="10.5" customHeight="1"/>
    <row r="1032964" ht="10.5" customHeight="1"/>
    <row r="1032965" ht="10.5" customHeight="1"/>
    <row r="1032966" ht="10.5" customHeight="1"/>
    <row r="1032967" ht="10.5" customHeight="1"/>
    <row r="1032968" ht="10.5" customHeight="1"/>
    <row r="1032969" ht="10.5" customHeight="1"/>
    <row r="1032970" ht="10.5" customHeight="1"/>
    <row r="1032971" ht="10.5" customHeight="1"/>
    <row r="1032972" ht="10.5" customHeight="1"/>
    <row r="1032973" ht="10.5" customHeight="1"/>
    <row r="1032974" ht="10.5" customHeight="1"/>
    <row r="1032975" ht="10.5" customHeight="1"/>
    <row r="1032976" ht="10.5" customHeight="1"/>
    <row r="1032977" ht="10.5" customHeight="1"/>
    <row r="1032978" ht="10.5" customHeight="1"/>
    <row r="1032979" ht="10.5" customHeight="1"/>
    <row r="1032980" ht="10.5" customHeight="1"/>
    <row r="1032981" ht="10.5" customHeight="1"/>
    <row r="1032982" ht="10.5" customHeight="1"/>
    <row r="1032983" ht="10.5" customHeight="1"/>
    <row r="1032984" ht="10.5" customHeight="1"/>
    <row r="1032985" ht="10.5" customHeight="1"/>
    <row r="1032986" ht="10.5" customHeight="1"/>
    <row r="1032987" ht="10.5" customHeight="1"/>
    <row r="1032988" ht="10.5" customHeight="1"/>
    <row r="1032989" ht="10.5" customHeight="1"/>
    <row r="1032990" ht="10.5" customHeight="1"/>
    <row r="1032991" ht="10.5" customHeight="1"/>
    <row r="1032992" ht="10.5" customHeight="1"/>
    <row r="1032993" ht="10.5" customHeight="1"/>
    <row r="1032994" ht="10.5" customHeight="1"/>
    <row r="1032995" ht="10.5" customHeight="1"/>
    <row r="1032996" ht="10.5" customHeight="1"/>
    <row r="1032997" ht="10.5" customHeight="1"/>
    <row r="1032998" ht="10.5" customHeight="1"/>
    <row r="1032999" ht="10.5" customHeight="1"/>
    <row r="1033000" ht="10.5" customHeight="1"/>
    <row r="1033001" ht="10.5" customHeight="1"/>
    <row r="1033002" ht="10.5" customHeight="1"/>
    <row r="1033003" ht="10.5" customHeight="1"/>
    <row r="1033004" ht="10.5" customHeight="1"/>
    <row r="1033005" ht="10.5" customHeight="1"/>
    <row r="1033006" ht="10.5" customHeight="1"/>
    <row r="1033007" ht="10.5" customHeight="1"/>
    <row r="1033008" ht="10.5" customHeight="1"/>
    <row r="1033009" ht="10.5" customHeight="1"/>
    <row r="1033010" ht="10.5" customHeight="1"/>
    <row r="1033011" ht="10.5" customHeight="1"/>
    <row r="1033012" ht="10.5" customHeight="1"/>
    <row r="1033013" ht="10.5" customHeight="1"/>
    <row r="1033014" ht="10.5" customHeight="1"/>
    <row r="1033015" ht="10.5" customHeight="1"/>
    <row r="1033016" ht="10.5" customHeight="1"/>
    <row r="1033017" ht="10.5" customHeight="1"/>
    <row r="1033018" ht="10.5" customHeight="1"/>
    <row r="1033019" ht="10.5" customHeight="1"/>
    <row r="1033020" ht="10.5" customHeight="1"/>
    <row r="1033021" ht="10.5" customHeight="1"/>
    <row r="1033022" ht="10.5" customHeight="1"/>
    <row r="1033023" ht="10.5" customHeight="1"/>
    <row r="1033024" ht="10.5" customHeight="1"/>
    <row r="1033025" ht="10.5" customHeight="1"/>
    <row r="1033026" ht="10.5" customHeight="1"/>
    <row r="1033027" ht="10.5" customHeight="1"/>
    <row r="1033028" ht="10.5" customHeight="1"/>
    <row r="1033029" ht="10.5" customHeight="1"/>
    <row r="1033030" ht="10.5" customHeight="1"/>
    <row r="1033031" ht="10.5" customHeight="1"/>
    <row r="1033032" ht="10.5" customHeight="1"/>
    <row r="1033033" ht="10.5" customHeight="1"/>
    <row r="1033034" ht="10.5" customHeight="1"/>
    <row r="1033035" ht="10.5" customHeight="1"/>
    <row r="1033036" ht="10.5" customHeight="1"/>
    <row r="1033037" ht="10.5" customHeight="1"/>
    <row r="1033038" ht="10.5" customHeight="1"/>
    <row r="1033039" ht="10.5" customHeight="1"/>
    <row r="1033040" ht="10.5" customHeight="1"/>
    <row r="1033041" ht="10.5" customHeight="1"/>
    <row r="1033042" ht="10.5" customHeight="1"/>
    <row r="1033043" ht="10.5" customHeight="1"/>
    <row r="1033044" ht="10.5" customHeight="1"/>
    <row r="1033045" ht="10.5" customHeight="1"/>
    <row r="1033046" ht="10.5" customHeight="1"/>
    <row r="1033047" ht="10.5" customHeight="1"/>
    <row r="1033048" ht="10.5" customHeight="1"/>
    <row r="1033049" ht="10.5" customHeight="1"/>
    <row r="1033050" ht="10.5" customHeight="1"/>
    <row r="1033051" ht="10.5" customHeight="1"/>
    <row r="1033052" ht="10.5" customHeight="1"/>
    <row r="1033053" ht="10.5" customHeight="1"/>
    <row r="1033054" ht="10.5" customHeight="1"/>
    <row r="1033055" ht="10.5" customHeight="1"/>
    <row r="1033056" ht="10.5" customHeight="1"/>
    <row r="1033057" ht="10.5" customHeight="1"/>
    <row r="1033058" ht="10.5" customHeight="1"/>
    <row r="1033059" ht="10.5" customHeight="1"/>
    <row r="1033060" ht="10.5" customHeight="1"/>
    <row r="1033061" ht="10.5" customHeight="1"/>
    <row r="1033062" ht="10.5" customHeight="1"/>
    <row r="1033063" ht="10.5" customHeight="1"/>
    <row r="1033064" ht="10.5" customHeight="1"/>
    <row r="1033065" ht="10.5" customHeight="1"/>
    <row r="1033066" ht="10.5" customHeight="1"/>
    <row r="1033067" ht="10.5" customHeight="1"/>
    <row r="1033068" ht="10.5" customHeight="1"/>
    <row r="1033069" ht="10.5" customHeight="1"/>
    <row r="1033070" ht="10.5" customHeight="1"/>
    <row r="1033071" ht="10.5" customHeight="1"/>
    <row r="1033072" ht="10.5" customHeight="1"/>
    <row r="1033073" ht="10.5" customHeight="1"/>
    <row r="1033074" ht="10.5" customHeight="1"/>
    <row r="1033075" ht="10.5" customHeight="1"/>
    <row r="1033076" ht="10.5" customHeight="1"/>
    <row r="1033077" ht="10.5" customHeight="1"/>
    <row r="1033078" ht="10.5" customHeight="1"/>
    <row r="1033079" ht="10.5" customHeight="1"/>
    <row r="1033080" ht="10.5" customHeight="1"/>
    <row r="1033081" ht="10.5" customHeight="1"/>
    <row r="1033082" ht="10.5" customHeight="1"/>
    <row r="1033083" ht="10.5" customHeight="1"/>
    <row r="1033084" ht="10.5" customHeight="1"/>
    <row r="1033085" ht="10.5" customHeight="1"/>
    <row r="1033086" ht="10.5" customHeight="1"/>
    <row r="1033087" ht="10.5" customHeight="1"/>
    <row r="1033088" ht="10.5" customHeight="1"/>
    <row r="1033089" ht="10.5" customHeight="1"/>
    <row r="1033090" ht="10.5" customHeight="1"/>
    <row r="1033091" ht="10.5" customHeight="1"/>
    <row r="1033092" ht="10.5" customHeight="1"/>
    <row r="1033093" ht="10.5" customHeight="1"/>
    <row r="1033094" ht="10.5" customHeight="1"/>
    <row r="1033095" ht="10.5" customHeight="1"/>
    <row r="1033096" ht="10.5" customHeight="1"/>
    <row r="1033097" ht="10.5" customHeight="1"/>
    <row r="1033098" ht="10.5" customHeight="1"/>
    <row r="1033099" ht="10.5" customHeight="1"/>
    <row r="1033100" ht="10.5" customHeight="1"/>
    <row r="1033101" ht="10.5" customHeight="1"/>
    <row r="1033102" ht="10.5" customHeight="1"/>
    <row r="1033103" ht="10.5" customHeight="1"/>
    <row r="1033104" ht="10.5" customHeight="1"/>
    <row r="1033105" ht="10.5" customHeight="1"/>
    <row r="1033106" ht="10.5" customHeight="1"/>
    <row r="1033107" ht="10.5" customHeight="1"/>
    <row r="1033108" ht="10.5" customHeight="1"/>
    <row r="1033109" ht="10.5" customHeight="1"/>
    <row r="1033110" ht="10.5" customHeight="1"/>
    <row r="1033111" ht="10.5" customHeight="1"/>
    <row r="1033112" ht="10.5" customHeight="1"/>
    <row r="1033113" ht="10.5" customHeight="1"/>
    <row r="1033114" ht="10.5" customHeight="1"/>
    <row r="1033115" ht="10.5" customHeight="1"/>
    <row r="1033116" ht="10.5" customHeight="1"/>
    <row r="1033117" ht="10.5" customHeight="1"/>
    <row r="1033118" ht="10.5" customHeight="1"/>
    <row r="1033119" ht="10.5" customHeight="1"/>
    <row r="1033120" ht="10.5" customHeight="1"/>
    <row r="1033121" ht="10.5" customHeight="1"/>
    <row r="1033122" ht="10.5" customHeight="1"/>
    <row r="1033123" ht="10.5" customHeight="1"/>
    <row r="1033124" ht="10.5" customHeight="1"/>
    <row r="1033125" ht="10.5" customHeight="1"/>
    <row r="1033126" ht="10.5" customHeight="1"/>
    <row r="1033127" ht="10.5" customHeight="1"/>
    <row r="1033128" ht="10.5" customHeight="1"/>
    <row r="1033129" ht="10.5" customHeight="1"/>
    <row r="1033130" ht="10.5" customHeight="1"/>
    <row r="1033131" ht="10.5" customHeight="1"/>
    <row r="1033132" ht="10.5" customHeight="1"/>
    <row r="1033133" ht="10.5" customHeight="1"/>
    <row r="1033134" ht="10.5" customHeight="1"/>
    <row r="1033135" ht="10.5" customHeight="1"/>
    <row r="1033136" ht="10.5" customHeight="1"/>
    <row r="1033137" ht="10.5" customHeight="1"/>
    <row r="1033138" ht="10.5" customHeight="1"/>
    <row r="1033139" ht="10.5" customHeight="1"/>
    <row r="1033140" ht="10.5" customHeight="1"/>
    <row r="1033141" ht="10.5" customHeight="1"/>
    <row r="1033142" ht="10.5" customHeight="1"/>
    <row r="1033143" ht="10.5" customHeight="1"/>
    <row r="1033144" ht="10.5" customHeight="1"/>
    <row r="1033145" ht="10.5" customHeight="1"/>
    <row r="1033146" ht="10.5" customHeight="1"/>
    <row r="1033147" ht="10.5" customHeight="1"/>
    <row r="1033148" ht="10.5" customHeight="1"/>
    <row r="1033149" ht="10.5" customHeight="1"/>
    <row r="1033150" ht="10.5" customHeight="1"/>
    <row r="1033151" ht="10.5" customHeight="1"/>
    <row r="1033152" ht="10.5" customHeight="1"/>
    <row r="1033153" ht="10.5" customHeight="1"/>
    <row r="1033154" ht="10.5" customHeight="1"/>
    <row r="1033155" ht="10.5" customHeight="1"/>
    <row r="1033156" ht="10.5" customHeight="1"/>
    <row r="1033157" ht="10.5" customHeight="1"/>
    <row r="1033158" ht="10.5" customHeight="1"/>
    <row r="1033159" ht="10.5" customHeight="1"/>
    <row r="1033160" ht="10.5" customHeight="1"/>
    <row r="1033161" ht="10.5" customHeight="1"/>
    <row r="1033162" ht="10.5" customHeight="1"/>
    <row r="1033163" ht="10.5" customHeight="1"/>
    <row r="1033164" ht="10.5" customHeight="1"/>
    <row r="1033165" ht="10.5" customHeight="1"/>
    <row r="1033166" ht="10.5" customHeight="1"/>
    <row r="1033167" ht="10.5" customHeight="1"/>
    <row r="1033168" ht="10.5" customHeight="1"/>
    <row r="1033169" ht="10.5" customHeight="1"/>
    <row r="1033170" ht="10.5" customHeight="1"/>
    <row r="1033171" ht="10.5" customHeight="1"/>
    <row r="1033172" ht="10.5" customHeight="1"/>
    <row r="1033173" ht="10.5" customHeight="1"/>
    <row r="1033174" ht="10.5" customHeight="1"/>
    <row r="1033175" ht="10.5" customHeight="1"/>
    <row r="1033176" ht="10.5" customHeight="1"/>
    <row r="1033177" ht="10.5" customHeight="1"/>
    <row r="1033178" ht="10.5" customHeight="1"/>
    <row r="1033179" ht="10.5" customHeight="1"/>
    <row r="1033180" ht="10.5" customHeight="1"/>
    <row r="1033181" ht="10.5" customHeight="1"/>
    <row r="1033182" ht="10.5" customHeight="1"/>
    <row r="1033183" ht="10.5" customHeight="1"/>
    <row r="1033184" ht="10.5" customHeight="1"/>
    <row r="1033185" ht="10.5" customHeight="1"/>
    <row r="1033186" ht="10.5" customHeight="1"/>
    <row r="1033187" ht="10.5" customHeight="1"/>
    <row r="1033188" ht="10.5" customHeight="1"/>
    <row r="1033189" ht="10.5" customHeight="1"/>
    <row r="1033190" ht="10.5" customHeight="1"/>
    <row r="1033191" ht="10.5" customHeight="1"/>
    <row r="1033192" ht="10.5" customHeight="1"/>
    <row r="1033193" ht="10.5" customHeight="1"/>
    <row r="1033194" ht="10.5" customHeight="1"/>
    <row r="1033195" ht="10.5" customHeight="1"/>
    <row r="1033196" ht="10.5" customHeight="1"/>
    <row r="1033197" ht="10.5" customHeight="1"/>
    <row r="1033198" ht="10.5" customHeight="1"/>
    <row r="1033199" ht="10.5" customHeight="1"/>
    <row r="1033200" ht="10.5" customHeight="1"/>
    <row r="1033201" ht="10.5" customHeight="1"/>
    <row r="1033202" ht="10.5" customHeight="1"/>
    <row r="1033203" ht="10.5" customHeight="1"/>
    <row r="1033204" ht="10.5" customHeight="1"/>
    <row r="1033205" ht="10.5" customHeight="1"/>
    <row r="1033206" ht="10.5" customHeight="1"/>
    <row r="1033207" ht="10.5" customHeight="1"/>
    <row r="1033208" ht="10.5" customHeight="1"/>
    <row r="1033209" ht="10.5" customHeight="1"/>
    <row r="1033210" ht="10.5" customHeight="1"/>
    <row r="1033211" ht="10.5" customHeight="1"/>
    <row r="1033212" ht="10.5" customHeight="1"/>
    <row r="1033213" ht="10.5" customHeight="1"/>
    <row r="1033214" ht="10.5" customHeight="1"/>
    <row r="1033215" ht="10.5" customHeight="1"/>
    <row r="1033216" ht="10.5" customHeight="1"/>
    <row r="1033217" ht="10.5" customHeight="1"/>
    <row r="1033218" ht="10.5" customHeight="1"/>
    <row r="1033219" ht="10.5" customHeight="1"/>
    <row r="1033220" ht="10.5" customHeight="1"/>
    <row r="1033221" ht="10.5" customHeight="1"/>
    <row r="1033222" ht="10.5" customHeight="1"/>
    <row r="1033223" ht="10.5" customHeight="1"/>
    <row r="1033224" ht="10.5" customHeight="1"/>
    <row r="1033225" ht="10.5" customHeight="1"/>
    <row r="1033226" ht="10.5" customHeight="1"/>
    <row r="1033227" ht="10.5" customHeight="1"/>
    <row r="1033228" ht="10.5" customHeight="1"/>
    <row r="1033229" ht="10.5" customHeight="1"/>
    <row r="1033230" ht="10.5" customHeight="1"/>
    <row r="1033231" ht="10.5" customHeight="1"/>
    <row r="1033232" ht="10.5" customHeight="1"/>
    <row r="1033233" ht="10.5" customHeight="1"/>
    <row r="1033234" ht="10.5" customHeight="1"/>
    <row r="1033235" ht="10.5" customHeight="1"/>
    <row r="1033236" ht="10.5" customHeight="1"/>
    <row r="1033237" ht="10.5" customHeight="1"/>
    <row r="1033238" ht="10.5" customHeight="1"/>
    <row r="1033239" ht="10.5" customHeight="1"/>
    <row r="1033240" ht="10.5" customHeight="1"/>
    <row r="1033241" ht="10.5" customHeight="1"/>
    <row r="1033242" ht="10.5" customHeight="1"/>
    <row r="1033243" ht="10.5" customHeight="1"/>
    <row r="1033244" ht="10.5" customHeight="1"/>
    <row r="1033245" ht="10.5" customHeight="1"/>
    <row r="1033246" ht="10.5" customHeight="1"/>
    <row r="1033247" ht="10.5" customHeight="1"/>
    <row r="1033248" ht="10.5" customHeight="1"/>
    <row r="1033249" ht="10.5" customHeight="1"/>
    <row r="1033250" ht="10.5" customHeight="1"/>
    <row r="1033251" ht="10.5" customHeight="1"/>
    <row r="1033252" ht="10.5" customHeight="1"/>
    <row r="1033253" ht="10.5" customHeight="1"/>
    <row r="1033254" ht="10.5" customHeight="1"/>
    <row r="1033255" ht="10.5" customHeight="1"/>
    <row r="1033256" ht="10.5" customHeight="1"/>
    <row r="1033257" ht="10.5" customHeight="1"/>
    <row r="1033258" ht="10.5" customHeight="1"/>
    <row r="1033259" ht="10.5" customHeight="1"/>
    <row r="1033260" ht="10.5" customHeight="1"/>
    <row r="1033261" ht="10.5" customHeight="1"/>
    <row r="1033262" ht="10.5" customHeight="1"/>
    <row r="1033263" ht="10.5" customHeight="1"/>
    <row r="1033264" ht="10.5" customHeight="1"/>
    <row r="1033265" ht="10.5" customHeight="1"/>
    <row r="1033266" ht="10.5" customHeight="1"/>
    <row r="1033267" ht="10.5" customHeight="1"/>
    <row r="1033268" ht="10.5" customHeight="1"/>
    <row r="1033269" ht="10.5" customHeight="1"/>
    <row r="1033270" ht="10.5" customHeight="1"/>
    <row r="1033271" ht="10.5" customHeight="1"/>
    <row r="1033272" ht="10.5" customHeight="1"/>
    <row r="1033273" ht="10.5" customHeight="1"/>
    <row r="1033274" ht="10.5" customHeight="1"/>
    <row r="1033275" ht="10.5" customHeight="1"/>
    <row r="1033276" ht="10.5" customHeight="1"/>
    <row r="1033277" ht="10.5" customHeight="1"/>
    <row r="1033278" ht="10.5" customHeight="1"/>
    <row r="1033279" ht="10.5" customHeight="1"/>
    <row r="1033280" ht="10.5" customHeight="1"/>
    <row r="1033281" ht="10.5" customHeight="1"/>
    <row r="1033282" ht="10.5" customHeight="1"/>
    <row r="1033283" ht="10.5" customHeight="1"/>
    <row r="1033284" ht="10.5" customHeight="1"/>
    <row r="1033285" ht="10.5" customHeight="1"/>
    <row r="1033286" ht="10.5" customHeight="1"/>
    <row r="1033287" ht="10.5" customHeight="1"/>
    <row r="1033288" ht="10.5" customHeight="1"/>
    <row r="1033289" ht="10.5" customHeight="1"/>
    <row r="1033290" ht="10.5" customHeight="1"/>
    <row r="1033291" ht="10.5" customHeight="1"/>
    <row r="1033292" ht="10.5" customHeight="1"/>
    <row r="1033293" ht="10.5" customHeight="1"/>
    <row r="1033294" ht="10.5" customHeight="1"/>
    <row r="1033295" ht="10.5" customHeight="1"/>
    <row r="1033296" ht="10.5" customHeight="1"/>
    <row r="1033297" ht="10.5" customHeight="1"/>
    <row r="1033298" ht="10.5" customHeight="1"/>
    <row r="1033299" ht="10.5" customHeight="1"/>
    <row r="1033300" ht="10.5" customHeight="1"/>
    <row r="1033301" ht="10.5" customHeight="1"/>
    <row r="1033302" ht="10.5" customHeight="1"/>
    <row r="1033303" ht="10.5" customHeight="1"/>
    <row r="1033304" ht="10.5" customHeight="1"/>
    <row r="1033305" ht="10.5" customHeight="1"/>
    <row r="1033306" ht="10.5" customHeight="1"/>
    <row r="1033307" ht="10.5" customHeight="1"/>
    <row r="1033308" ht="10.5" customHeight="1"/>
    <row r="1033309" ht="10.5" customHeight="1"/>
    <row r="1033310" ht="10.5" customHeight="1"/>
    <row r="1033311" ht="10.5" customHeight="1"/>
    <row r="1033312" ht="10.5" customHeight="1"/>
    <row r="1033313" ht="10.5" customHeight="1"/>
    <row r="1033314" ht="10.5" customHeight="1"/>
    <row r="1033315" ht="10.5" customHeight="1"/>
    <row r="1033316" ht="10.5" customHeight="1"/>
    <row r="1033317" ht="10.5" customHeight="1"/>
    <row r="1033318" ht="10.5" customHeight="1"/>
    <row r="1033319" ht="10.5" customHeight="1"/>
    <row r="1033320" ht="10.5" customHeight="1"/>
    <row r="1033321" ht="10.5" customHeight="1"/>
    <row r="1033322" ht="10.5" customHeight="1"/>
    <row r="1033323" ht="10.5" customHeight="1"/>
    <row r="1033324" ht="10.5" customHeight="1"/>
    <row r="1033325" ht="10.5" customHeight="1"/>
    <row r="1033326" ht="10.5" customHeight="1"/>
    <row r="1033327" ht="10.5" customHeight="1"/>
    <row r="1033328" ht="10.5" customHeight="1"/>
    <row r="1033329" ht="10.5" customHeight="1"/>
    <row r="1033330" ht="10.5" customHeight="1"/>
    <row r="1033331" ht="10.5" customHeight="1"/>
    <row r="1033332" ht="10.5" customHeight="1"/>
    <row r="1033333" ht="10.5" customHeight="1"/>
    <row r="1033334" ht="10.5" customHeight="1"/>
    <row r="1033335" ht="10.5" customHeight="1"/>
    <row r="1033336" ht="10.5" customHeight="1"/>
    <row r="1033337" ht="10.5" customHeight="1"/>
    <row r="1033338" ht="10.5" customHeight="1"/>
    <row r="1033339" ht="10.5" customHeight="1"/>
    <row r="1033340" ht="10.5" customHeight="1"/>
    <row r="1033341" ht="10.5" customHeight="1"/>
    <row r="1033342" ht="10.5" customHeight="1"/>
    <row r="1033343" ht="10.5" customHeight="1"/>
    <row r="1033344" ht="10.5" customHeight="1"/>
    <row r="1033345" ht="10.5" customHeight="1"/>
    <row r="1033346" ht="10.5" customHeight="1"/>
    <row r="1033347" ht="10.5" customHeight="1"/>
    <row r="1033348" ht="10.5" customHeight="1"/>
    <row r="1033349" ht="10.5" customHeight="1"/>
    <row r="1033350" ht="10.5" customHeight="1"/>
    <row r="1033351" ht="10.5" customHeight="1"/>
    <row r="1033352" ht="10.5" customHeight="1"/>
    <row r="1033353" ht="10.5" customHeight="1"/>
    <row r="1033354" ht="10.5" customHeight="1"/>
    <row r="1033355" ht="10.5" customHeight="1"/>
    <row r="1033356" ht="10.5" customHeight="1"/>
    <row r="1033357" ht="10.5" customHeight="1"/>
    <row r="1033358" ht="10.5" customHeight="1"/>
    <row r="1033359" ht="10.5" customHeight="1"/>
    <row r="1033360" ht="10.5" customHeight="1"/>
    <row r="1033361" ht="10.5" customHeight="1"/>
    <row r="1033362" ht="10.5" customHeight="1"/>
    <row r="1033363" ht="10.5" customHeight="1"/>
    <row r="1033364" ht="10.5" customHeight="1"/>
    <row r="1033365" ht="10.5" customHeight="1"/>
    <row r="1033366" ht="10.5" customHeight="1"/>
    <row r="1033367" ht="10.5" customHeight="1"/>
    <row r="1033368" ht="10.5" customHeight="1"/>
    <row r="1033369" ht="10.5" customHeight="1"/>
    <row r="1033370" ht="10.5" customHeight="1"/>
    <row r="1033371" ht="10.5" customHeight="1"/>
    <row r="1033372" ht="10.5" customHeight="1"/>
    <row r="1033373" ht="10.5" customHeight="1"/>
    <row r="1033374" ht="10.5" customHeight="1"/>
    <row r="1033375" ht="10.5" customHeight="1"/>
    <row r="1033376" ht="10.5" customHeight="1"/>
    <row r="1033377" ht="10.5" customHeight="1"/>
    <row r="1033378" ht="10.5" customHeight="1"/>
    <row r="1033379" ht="10.5" customHeight="1"/>
    <row r="1033380" ht="10.5" customHeight="1"/>
    <row r="1033381" ht="10.5" customHeight="1"/>
    <row r="1033382" ht="10.5" customHeight="1"/>
    <row r="1033383" ht="10.5" customHeight="1"/>
    <row r="1033384" ht="10.5" customHeight="1"/>
    <row r="1033385" ht="10.5" customHeight="1"/>
    <row r="1033386" ht="10.5" customHeight="1"/>
    <row r="1033387" ht="10.5" customHeight="1"/>
    <row r="1033388" ht="10.5" customHeight="1"/>
    <row r="1033389" ht="10.5" customHeight="1"/>
    <row r="1033390" ht="10.5" customHeight="1"/>
    <row r="1033391" ht="10.5" customHeight="1"/>
    <row r="1033392" ht="10.5" customHeight="1"/>
    <row r="1033393" ht="10.5" customHeight="1"/>
    <row r="1033394" ht="10.5" customHeight="1"/>
    <row r="1033395" ht="10.5" customHeight="1"/>
    <row r="1033396" ht="10.5" customHeight="1"/>
    <row r="1033397" ht="10.5" customHeight="1"/>
    <row r="1033398" ht="10.5" customHeight="1"/>
    <row r="1033399" ht="10.5" customHeight="1"/>
    <row r="1033400" ht="10.5" customHeight="1"/>
    <row r="1033401" ht="10.5" customHeight="1"/>
    <row r="1033402" ht="10.5" customHeight="1"/>
    <row r="1033403" ht="10.5" customHeight="1"/>
    <row r="1033404" ht="10.5" customHeight="1"/>
    <row r="1033405" ht="10.5" customHeight="1"/>
    <row r="1033406" ht="10.5" customHeight="1"/>
    <row r="1033407" ht="10.5" customHeight="1"/>
    <row r="1033408" ht="10.5" customHeight="1"/>
    <row r="1033409" ht="10.5" customHeight="1"/>
    <row r="1033410" ht="10.5" customHeight="1"/>
    <row r="1033411" ht="10.5" customHeight="1"/>
    <row r="1033412" ht="10.5" customHeight="1"/>
    <row r="1033413" ht="10.5" customHeight="1"/>
    <row r="1033414" ht="10.5" customHeight="1"/>
    <row r="1033415" ht="10.5" customHeight="1"/>
    <row r="1033416" ht="10.5" customHeight="1"/>
    <row r="1033417" ht="10.5" customHeight="1"/>
    <row r="1033418" ht="10.5" customHeight="1"/>
    <row r="1033419" ht="10.5" customHeight="1"/>
    <row r="1033420" ht="10.5" customHeight="1"/>
    <row r="1033421" ht="10.5" customHeight="1"/>
    <row r="1033422" ht="10.5" customHeight="1"/>
    <row r="1033423" ht="10.5" customHeight="1"/>
    <row r="1033424" ht="10.5" customHeight="1"/>
    <row r="1033425" ht="10.5" customHeight="1"/>
    <row r="1033426" ht="10.5" customHeight="1"/>
    <row r="1033427" ht="10.5" customHeight="1"/>
    <row r="1033428" ht="10.5" customHeight="1"/>
    <row r="1033429" ht="10.5" customHeight="1"/>
    <row r="1033430" ht="10.5" customHeight="1"/>
    <row r="1033431" ht="10.5" customHeight="1"/>
    <row r="1033432" ht="10.5" customHeight="1"/>
    <row r="1033433" ht="10.5" customHeight="1"/>
    <row r="1033434" ht="10.5" customHeight="1"/>
    <row r="1033435" ht="10.5" customHeight="1"/>
    <row r="1033436" ht="10.5" customHeight="1"/>
    <row r="1033437" ht="10.5" customHeight="1"/>
    <row r="1033438" ht="10.5" customHeight="1"/>
    <row r="1033439" ht="10.5" customHeight="1"/>
    <row r="1033440" ht="10.5" customHeight="1"/>
    <row r="1033441" ht="10.5" customHeight="1"/>
    <row r="1033442" ht="10.5" customHeight="1"/>
    <row r="1033443" ht="10.5" customHeight="1"/>
    <row r="1033444" ht="10.5" customHeight="1"/>
    <row r="1033445" ht="10.5" customHeight="1"/>
    <row r="1033446" ht="10.5" customHeight="1"/>
    <row r="1033447" ht="10.5" customHeight="1"/>
    <row r="1033448" ht="10.5" customHeight="1"/>
    <row r="1033449" ht="10.5" customHeight="1"/>
    <row r="1033450" ht="10.5" customHeight="1"/>
    <row r="1033451" ht="10.5" customHeight="1"/>
    <row r="1033452" ht="10.5" customHeight="1"/>
    <row r="1033453" ht="10.5" customHeight="1"/>
    <row r="1033454" ht="10.5" customHeight="1"/>
    <row r="1033455" ht="10.5" customHeight="1"/>
    <row r="1033456" ht="10.5" customHeight="1"/>
    <row r="1033457" ht="10.5" customHeight="1"/>
    <row r="1033458" ht="10.5" customHeight="1"/>
    <row r="1033459" ht="10.5" customHeight="1"/>
    <row r="1033460" ht="10.5" customHeight="1"/>
    <row r="1033461" ht="10.5" customHeight="1"/>
    <row r="1033462" ht="10.5" customHeight="1"/>
    <row r="1033463" ht="10.5" customHeight="1"/>
    <row r="1033464" ht="10.5" customHeight="1"/>
    <row r="1033465" ht="10.5" customHeight="1"/>
    <row r="1033466" ht="10.5" customHeight="1"/>
    <row r="1033467" ht="10.5" customHeight="1"/>
    <row r="1033468" ht="10.5" customHeight="1"/>
    <row r="1033469" ht="10.5" customHeight="1"/>
    <row r="1033470" ht="10.5" customHeight="1"/>
    <row r="1033471" ht="10.5" customHeight="1"/>
    <row r="1033472" ht="10.5" customHeight="1"/>
    <row r="1033473" ht="10.5" customHeight="1"/>
    <row r="1033474" ht="10.5" customHeight="1"/>
    <row r="1033475" ht="10.5" customHeight="1"/>
    <row r="1033476" ht="10.5" customHeight="1"/>
    <row r="1033477" ht="10.5" customHeight="1"/>
    <row r="1033478" ht="10.5" customHeight="1"/>
    <row r="1033479" ht="10.5" customHeight="1"/>
    <row r="1033480" ht="10.5" customHeight="1"/>
    <row r="1033481" ht="10.5" customHeight="1"/>
    <row r="1033482" ht="10.5" customHeight="1"/>
    <row r="1033483" ht="10.5" customHeight="1"/>
    <row r="1033484" ht="10.5" customHeight="1"/>
    <row r="1033485" ht="10.5" customHeight="1"/>
    <row r="1033486" ht="10.5" customHeight="1"/>
    <row r="1033487" ht="10.5" customHeight="1"/>
    <row r="1033488" ht="10.5" customHeight="1"/>
    <row r="1033489" ht="10.5" customHeight="1"/>
    <row r="1033490" ht="10.5" customHeight="1"/>
    <row r="1033491" ht="10.5" customHeight="1"/>
    <row r="1033492" ht="10.5" customHeight="1"/>
    <row r="1033493" ht="10.5" customHeight="1"/>
    <row r="1033494" ht="10.5" customHeight="1"/>
    <row r="1033495" ht="10.5" customHeight="1"/>
    <row r="1033496" ht="10.5" customHeight="1"/>
    <row r="1033497" ht="10.5" customHeight="1"/>
    <row r="1033498" ht="10.5" customHeight="1"/>
    <row r="1033499" ht="10.5" customHeight="1"/>
    <row r="1033500" ht="10.5" customHeight="1"/>
    <row r="1033501" ht="10.5" customHeight="1"/>
    <row r="1033502" ht="10.5" customHeight="1"/>
    <row r="1033503" ht="10.5" customHeight="1"/>
    <row r="1033504" ht="10.5" customHeight="1"/>
    <row r="1033505" ht="10.5" customHeight="1"/>
    <row r="1033506" ht="10.5" customHeight="1"/>
    <row r="1033507" ht="10.5" customHeight="1"/>
    <row r="1033508" ht="10.5" customHeight="1"/>
    <row r="1033509" ht="10.5" customHeight="1"/>
    <row r="1033510" ht="10.5" customHeight="1"/>
    <row r="1033511" ht="10.5" customHeight="1"/>
    <row r="1033512" ht="10.5" customHeight="1"/>
    <row r="1033513" ht="10.5" customHeight="1"/>
    <row r="1033514" ht="10.5" customHeight="1"/>
    <row r="1033515" ht="10.5" customHeight="1"/>
    <row r="1033516" ht="10.5" customHeight="1"/>
    <row r="1033517" ht="10.5" customHeight="1"/>
    <row r="1033518" ht="10.5" customHeight="1"/>
    <row r="1033519" ht="10.5" customHeight="1"/>
    <row r="1033520" ht="10.5" customHeight="1"/>
    <row r="1033521" ht="10.5" customHeight="1"/>
    <row r="1033522" ht="10.5" customHeight="1"/>
    <row r="1033523" ht="10.5" customHeight="1"/>
    <row r="1033524" ht="10.5" customHeight="1"/>
    <row r="1033525" ht="10.5" customHeight="1"/>
    <row r="1033526" ht="10.5" customHeight="1"/>
    <row r="1033527" ht="10.5" customHeight="1"/>
    <row r="1033528" ht="10.5" customHeight="1"/>
    <row r="1033529" ht="10.5" customHeight="1"/>
    <row r="1033530" ht="10.5" customHeight="1"/>
    <row r="1033531" ht="10.5" customHeight="1"/>
    <row r="1033532" ht="10.5" customHeight="1"/>
    <row r="1033533" ht="10.5" customHeight="1"/>
    <row r="1033534" ht="10.5" customHeight="1"/>
    <row r="1033535" ht="10.5" customHeight="1"/>
    <row r="1033536" ht="10.5" customHeight="1"/>
    <row r="1033537" ht="10.5" customHeight="1"/>
    <row r="1033538" ht="10.5" customHeight="1"/>
    <row r="1033539" ht="10.5" customHeight="1"/>
    <row r="1033540" ht="10.5" customHeight="1"/>
    <row r="1033541" ht="10.5" customHeight="1"/>
    <row r="1033542" ht="10.5" customHeight="1"/>
    <row r="1033543" ht="10.5" customHeight="1"/>
    <row r="1033544" ht="10.5" customHeight="1"/>
    <row r="1033545" ht="10.5" customHeight="1"/>
    <row r="1033546" ht="10.5" customHeight="1"/>
    <row r="1033547" ht="10.5" customHeight="1"/>
    <row r="1033548" ht="10.5" customHeight="1"/>
    <row r="1033549" ht="10.5" customHeight="1"/>
    <row r="1033550" ht="10.5" customHeight="1"/>
    <row r="1033551" ht="10.5" customHeight="1"/>
    <row r="1033552" ht="10.5" customHeight="1"/>
    <row r="1033553" ht="10.5" customHeight="1"/>
    <row r="1033554" ht="10.5" customHeight="1"/>
    <row r="1033555" ht="10.5" customHeight="1"/>
    <row r="1033556" ht="10.5" customHeight="1"/>
    <row r="1033557" ht="10.5" customHeight="1"/>
    <row r="1033558" ht="10.5" customHeight="1"/>
    <row r="1033559" ht="10.5" customHeight="1"/>
    <row r="1033560" ht="10.5" customHeight="1"/>
    <row r="1033561" ht="10.5" customHeight="1"/>
    <row r="1033562" ht="10.5" customHeight="1"/>
    <row r="1033563" ht="10.5" customHeight="1"/>
    <row r="1033564" ht="10.5" customHeight="1"/>
    <row r="1033565" ht="10.5" customHeight="1"/>
    <row r="1033566" ht="10.5" customHeight="1"/>
    <row r="1033567" ht="10.5" customHeight="1"/>
    <row r="1033568" ht="10.5" customHeight="1"/>
    <row r="1033569" ht="10.5" customHeight="1"/>
    <row r="1033570" ht="10.5" customHeight="1"/>
    <row r="1033571" ht="10.5" customHeight="1"/>
    <row r="1033572" ht="10.5" customHeight="1"/>
    <row r="1033573" ht="10.5" customHeight="1"/>
    <row r="1033574" ht="10.5" customHeight="1"/>
    <row r="1033575" ht="10.5" customHeight="1"/>
    <row r="1033576" ht="10.5" customHeight="1"/>
    <row r="1033577" ht="10.5" customHeight="1"/>
    <row r="1033578" ht="10.5" customHeight="1"/>
    <row r="1033579" ht="10.5" customHeight="1"/>
    <row r="1033580" ht="10.5" customHeight="1"/>
    <row r="1033581" ht="10.5" customHeight="1"/>
    <row r="1033582" ht="10.5" customHeight="1"/>
    <row r="1033583" ht="10.5" customHeight="1"/>
    <row r="1033584" ht="10.5" customHeight="1"/>
    <row r="1033585" ht="10.5" customHeight="1"/>
    <row r="1033586" ht="10.5" customHeight="1"/>
    <row r="1033587" ht="10.5" customHeight="1"/>
    <row r="1033588" ht="10.5" customHeight="1"/>
    <row r="1033589" ht="10.5" customHeight="1"/>
    <row r="1033590" ht="10.5" customHeight="1"/>
    <row r="1033591" ht="10.5" customHeight="1"/>
    <row r="1033592" ht="10.5" customHeight="1"/>
    <row r="1033593" ht="10.5" customHeight="1"/>
    <row r="1033594" ht="10.5" customHeight="1"/>
    <row r="1033595" ht="10.5" customHeight="1"/>
    <row r="1033596" ht="10.5" customHeight="1"/>
    <row r="1033597" ht="10.5" customHeight="1"/>
    <row r="1033598" ht="10.5" customHeight="1"/>
    <row r="1033599" ht="10.5" customHeight="1"/>
    <row r="1033600" ht="10.5" customHeight="1"/>
    <row r="1033601" ht="10.5" customHeight="1"/>
    <row r="1033602" ht="10.5" customHeight="1"/>
    <row r="1033603" ht="10.5" customHeight="1"/>
    <row r="1033604" ht="10.5" customHeight="1"/>
    <row r="1033605" ht="10.5" customHeight="1"/>
    <row r="1033606" ht="10.5" customHeight="1"/>
    <row r="1033607" ht="10.5" customHeight="1"/>
    <row r="1033608" ht="10.5" customHeight="1"/>
    <row r="1033609" ht="10.5" customHeight="1"/>
    <row r="1033610" ht="10.5" customHeight="1"/>
    <row r="1033611" ht="10.5" customHeight="1"/>
    <row r="1033612" ht="10.5" customHeight="1"/>
    <row r="1033613" ht="10.5" customHeight="1"/>
    <row r="1033614" ht="10.5" customHeight="1"/>
    <row r="1033615" ht="10.5" customHeight="1"/>
    <row r="1033616" ht="10.5" customHeight="1"/>
    <row r="1033617" ht="10.5" customHeight="1"/>
    <row r="1033618" ht="10.5" customHeight="1"/>
    <row r="1033619" ht="10.5" customHeight="1"/>
    <row r="1033620" ht="10.5" customHeight="1"/>
    <row r="1033621" ht="10.5" customHeight="1"/>
    <row r="1033622" ht="10.5" customHeight="1"/>
    <row r="1033623" ht="10.5" customHeight="1"/>
    <row r="1033624" ht="10.5" customHeight="1"/>
    <row r="1033625" ht="10.5" customHeight="1"/>
    <row r="1033626" ht="10.5" customHeight="1"/>
    <row r="1033627" ht="10.5" customHeight="1"/>
    <row r="1033628" ht="10.5" customHeight="1"/>
    <row r="1033629" ht="10.5" customHeight="1"/>
    <row r="1033630" ht="10.5" customHeight="1"/>
    <row r="1033631" ht="10.5" customHeight="1"/>
    <row r="1033632" ht="10.5" customHeight="1"/>
    <row r="1033633" ht="10.5" customHeight="1"/>
    <row r="1033634" ht="10.5" customHeight="1"/>
    <row r="1033635" ht="10.5" customHeight="1"/>
    <row r="1033636" ht="10.5" customHeight="1"/>
    <row r="1033637" ht="10.5" customHeight="1"/>
    <row r="1033638" ht="10.5" customHeight="1"/>
    <row r="1033639" ht="10.5" customHeight="1"/>
    <row r="1033640" ht="10.5" customHeight="1"/>
    <row r="1033641" ht="10.5" customHeight="1"/>
    <row r="1033642" ht="10.5" customHeight="1"/>
    <row r="1033643" ht="10.5" customHeight="1"/>
    <row r="1033644" ht="10.5" customHeight="1"/>
    <row r="1033645" ht="10.5" customHeight="1"/>
    <row r="1033646" ht="10.5" customHeight="1"/>
    <row r="1033647" ht="10.5" customHeight="1"/>
    <row r="1033648" ht="10.5" customHeight="1"/>
    <row r="1033649" ht="10.5" customHeight="1"/>
    <row r="1033650" ht="10.5" customHeight="1"/>
    <row r="1033651" ht="10.5" customHeight="1"/>
    <row r="1033652" ht="10.5" customHeight="1"/>
    <row r="1033653" ht="10.5" customHeight="1"/>
    <row r="1033654" ht="10.5" customHeight="1"/>
    <row r="1033655" ht="10.5" customHeight="1"/>
    <row r="1033656" ht="10.5" customHeight="1"/>
    <row r="1033657" ht="10.5" customHeight="1"/>
    <row r="1033658" ht="10.5" customHeight="1"/>
    <row r="1033659" ht="10.5" customHeight="1"/>
    <row r="1033660" ht="10.5" customHeight="1"/>
    <row r="1033661" ht="10.5" customHeight="1"/>
    <row r="1033662" ht="10.5" customHeight="1"/>
    <row r="1033663" ht="10.5" customHeight="1"/>
    <row r="1033664" ht="10.5" customHeight="1"/>
    <row r="1033665" ht="10.5" customHeight="1"/>
    <row r="1033666" ht="10.5" customHeight="1"/>
    <row r="1033667" ht="10.5" customHeight="1"/>
    <row r="1033668" ht="10.5" customHeight="1"/>
    <row r="1033669" ht="10.5" customHeight="1"/>
    <row r="1033670" ht="10.5" customHeight="1"/>
    <row r="1033671" ht="10.5" customHeight="1"/>
    <row r="1033672" ht="10.5" customHeight="1"/>
    <row r="1033673" ht="10.5" customHeight="1"/>
    <row r="1033674" ht="10.5" customHeight="1"/>
    <row r="1033675" ht="10.5" customHeight="1"/>
    <row r="1033676" ht="10.5" customHeight="1"/>
    <row r="1033677" ht="10.5" customHeight="1"/>
    <row r="1033678" ht="10.5" customHeight="1"/>
    <row r="1033679" ht="10.5" customHeight="1"/>
    <row r="1033680" ht="10.5" customHeight="1"/>
    <row r="1033681" ht="10.5" customHeight="1"/>
    <row r="1033682" ht="10.5" customHeight="1"/>
    <row r="1033683" ht="10.5" customHeight="1"/>
    <row r="1033684" ht="10.5" customHeight="1"/>
    <row r="1033685" ht="10.5" customHeight="1"/>
    <row r="1033686" ht="10.5" customHeight="1"/>
    <row r="1033687" ht="10.5" customHeight="1"/>
    <row r="1033688" ht="10.5" customHeight="1"/>
    <row r="1033689" ht="10.5" customHeight="1"/>
    <row r="1033690" ht="10.5" customHeight="1"/>
    <row r="1033691" ht="10.5" customHeight="1"/>
    <row r="1033692" ht="10.5" customHeight="1"/>
    <row r="1033693" ht="10.5" customHeight="1"/>
    <row r="1033694" ht="10.5" customHeight="1"/>
    <row r="1033695" ht="10.5" customHeight="1"/>
    <row r="1033696" ht="10.5" customHeight="1"/>
    <row r="1033697" ht="10.5" customHeight="1"/>
    <row r="1033698" ht="10.5" customHeight="1"/>
    <row r="1033699" ht="10.5" customHeight="1"/>
    <row r="1033700" ht="10.5" customHeight="1"/>
    <row r="1033701" ht="10.5" customHeight="1"/>
    <row r="1033702" ht="10.5" customHeight="1"/>
    <row r="1033703" ht="10.5" customHeight="1"/>
    <row r="1033704" ht="10.5" customHeight="1"/>
    <row r="1033705" ht="10.5" customHeight="1"/>
    <row r="1033706" ht="10.5" customHeight="1"/>
    <row r="1033707" ht="10.5" customHeight="1"/>
    <row r="1033708" ht="10.5" customHeight="1"/>
    <row r="1033709" ht="10.5" customHeight="1"/>
    <row r="1033710" ht="10.5" customHeight="1"/>
    <row r="1033711" ht="10.5" customHeight="1"/>
    <row r="1033712" ht="10.5" customHeight="1"/>
    <row r="1033713" ht="10.5" customHeight="1"/>
    <row r="1033714" ht="10.5" customHeight="1"/>
    <row r="1033715" ht="10.5" customHeight="1"/>
    <row r="1033716" ht="10.5" customHeight="1"/>
    <row r="1033717" ht="10.5" customHeight="1"/>
    <row r="1033718" ht="10.5" customHeight="1"/>
    <row r="1033719" ht="10.5" customHeight="1"/>
    <row r="1033720" ht="10.5" customHeight="1"/>
    <row r="1033721" ht="10.5" customHeight="1"/>
    <row r="1033722" ht="10.5" customHeight="1"/>
    <row r="1033723" ht="10.5" customHeight="1"/>
    <row r="1033724" ht="10.5" customHeight="1"/>
    <row r="1033725" ht="10.5" customHeight="1"/>
    <row r="1033726" ht="10.5" customHeight="1"/>
    <row r="1033727" ht="10.5" customHeight="1"/>
    <row r="1033728" ht="10.5" customHeight="1"/>
    <row r="1033729" ht="10.5" customHeight="1"/>
    <row r="1033730" ht="10.5" customHeight="1"/>
    <row r="1033731" ht="10.5" customHeight="1"/>
    <row r="1033732" ht="10.5" customHeight="1"/>
    <row r="1033733" ht="10.5" customHeight="1"/>
    <row r="1033734" ht="10.5" customHeight="1"/>
    <row r="1033735" ht="10.5" customHeight="1"/>
    <row r="1033736" ht="10.5" customHeight="1"/>
    <row r="1033737" ht="10.5" customHeight="1"/>
    <row r="1033738" ht="10.5" customHeight="1"/>
    <row r="1033739" ht="10.5" customHeight="1"/>
    <row r="1033740" ht="10.5" customHeight="1"/>
    <row r="1033741" ht="10.5" customHeight="1"/>
    <row r="1033742" ht="10.5" customHeight="1"/>
    <row r="1033743" ht="10.5" customHeight="1"/>
    <row r="1033744" ht="10.5" customHeight="1"/>
    <row r="1033745" ht="10.5" customHeight="1"/>
    <row r="1033746" ht="10.5" customHeight="1"/>
    <row r="1033747" ht="10.5" customHeight="1"/>
    <row r="1033748" ht="10.5" customHeight="1"/>
    <row r="1033749" ht="10.5" customHeight="1"/>
    <row r="1033750" ht="10.5" customHeight="1"/>
    <row r="1033751" ht="10.5" customHeight="1"/>
    <row r="1033752" ht="10.5" customHeight="1"/>
    <row r="1033753" ht="10.5" customHeight="1"/>
    <row r="1033754" ht="10.5" customHeight="1"/>
    <row r="1033755" ht="10.5" customHeight="1"/>
    <row r="1033756" ht="10.5" customHeight="1"/>
    <row r="1033757" ht="10.5" customHeight="1"/>
    <row r="1033758" ht="10.5" customHeight="1"/>
    <row r="1033759" ht="10.5" customHeight="1"/>
    <row r="1033760" ht="10.5" customHeight="1"/>
    <row r="1033761" ht="10.5" customHeight="1"/>
    <row r="1033762" ht="10.5" customHeight="1"/>
    <row r="1033763" ht="10.5" customHeight="1"/>
    <row r="1033764" ht="10.5" customHeight="1"/>
    <row r="1033765" ht="10.5" customHeight="1"/>
    <row r="1033766" ht="10.5" customHeight="1"/>
    <row r="1033767" ht="10.5" customHeight="1"/>
    <row r="1033768" ht="10.5" customHeight="1"/>
    <row r="1033769" ht="10.5" customHeight="1"/>
    <row r="1033770" ht="10.5" customHeight="1"/>
    <row r="1033771" ht="10.5" customHeight="1"/>
    <row r="1033772" ht="10.5" customHeight="1"/>
    <row r="1033773" ht="10.5" customHeight="1"/>
    <row r="1033774" ht="10.5" customHeight="1"/>
    <row r="1033775" ht="10.5" customHeight="1"/>
    <row r="1033776" ht="10.5" customHeight="1"/>
    <row r="1033777" ht="10.5" customHeight="1"/>
    <row r="1033778" ht="10.5" customHeight="1"/>
    <row r="1033779" ht="10.5" customHeight="1"/>
    <row r="1033780" ht="10.5" customHeight="1"/>
    <row r="1033781" ht="10.5" customHeight="1"/>
    <row r="1033782" ht="10.5" customHeight="1"/>
    <row r="1033783" ht="10.5" customHeight="1"/>
    <row r="1033784" ht="10.5" customHeight="1"/>
    <row r="1033785" ht="10.5" customHeight="1"/>
    <row r="1033786" ht="10.5" customHeight="1"/>
    <row r="1033787" ht="10.5" customHeight="1"/>
    <row r="1033788" ht="10.5" customHeight="1"/>
    <row r="1033789" ht="10.5" customHeight="1"/>
    <row r="1033790" ht="10.5" customHeight="1"/>
    <row r="1033791" ht="10.5" customHeight="1"/>
    <row r="1033792" ht="10.5" customHeight="1"/>
    <row r="1033793" ht="10.5" customHeight="1"/>
    <row r="1033794" ht="10.5" customHeight="1"/>
    <row r="1033795" ht="10.5" customHeight="1"/>
    <row r="1033796" ht="10.5" customHeight="1"/>
    <row r="1033797" ht="10.5" customHeight="1"/>
    <row r="1033798" ht="10.5" customHeight="1"/>
    <row r="1033799" ht="10.5" customHeight="1"/>
    <row r="1033800" ht="10.5" customHeight="1"/>
    <row r="1033801" ht="10.5" customHeight="1"/>
    <row r="1033802" ht="10.5" customHeight="1"/>
    <row r="1033803" ht="10.5" customHeight="1"/>
    <row r="1033804" ht="10.5" customHeight="1"/>
    <row r="1033805" ht="10.5" customHeight="1"/>
    <row r="1033806" ht="10.5" customHeight="1"/>
    <row r="1033807" ht="10.5" customHeight="1"/>
    <row r="1033808" ht="10.5" customHeight="1"/>
    <row r="1033809" ht="10.5" customHeight="1"/>
    <row r="1033810" ht="10.5" customHeight="1"/>
    <row r="1033811" ht="10.5" customHeight="1"/>
    <row r="1033812" ht="10.5" customHeight="1"/>
    <row r="1033813" ht="10.5" customHeight="1"/>
    <row r="1033814" ht="10.5" customHeight="1"/>
    <row r="1033815" ht="10.5" customHeight="1"/>
    <row r="1033816" ht="10.5" customHeight="1"/>
    <row r="1033817" ht="10.5" customHeight="1"/>
    <row r="1033818" ht="10.5" customHeight="1"/>
    <row r="1033819" ht="10.5" customHeight="1"/>
    <row r="1033820" ht="10.5" customHeight="1"/>
    <row r="1033821" ht="10.5" customHeight="1"/>
    <row r="1033822" ht="10.5" customHeight="1"/>
    <row r="1033823" ht="10.5" customHeight="1"/>
    <row r="1033824" ht="10.5" customHeight="1"/>
    <row r="1033825" ht="10.5" customHeight="1"/>
    <row r="1033826" ht="10.5" customHeight="1"/>
    <row r="1033827" ht="10.5" customHeight="1"/>
    <row r="1033828" ht="10.5" customHeight="1"/>
    <row r="1033829" ht="10.5" customHeight="1"/>
    <row r="1033830" ht="10.5" customHeight="1"/>
    <row r="1033831" ht="10.5" customHeight="1"/>
    <row r="1033832" ht="10.5" customHeight="1"/>
    <row r="1033833" ht="10.5" customHeight="1"/>
    <row r="1033834" ht="10.5" customHeight="1"/>
    <row r="1033835" ht="10.5" customHeight="1"/>
    <row r="1033836" ht="10.5" customHeight="1"/>
    <row r="1033837" ht="10.5" customHeight="1"/>
    <row r="1033838" ht="10.5" customHeight="1"/>
    <row r="1033839" ht="10.5" customHeight="1"/>
    <row r="1033840" ht="10.5" customHeight="1"/>
    <row r="1033841" ht="10.5" customHeight="1"/>
    <row r="1033842" ht="10.5" customHeight="1"/>
    <row r="1033843" ht="10.5" customHeight="1"/>
    <row r="1033844" ht="10.5" customHeight="1"/>
    <row r="1033845" ht="10.5" customHeight="1"/>
    <row r="1033846" ht="10.5" customHeight="1"/>
    <row r="1033847" ht="10.5" customHeight="1"/>
    <row r="1033848" ht="10.5" customHeight="1"/>
    <row r="1033849" ht="10.5" customHeight="1"/>
    <row r="1033850" ht="10.5" customHeight="1"/>
    <row r="1033851" ht="10.5" customHeight="1"/>
    <row r="1033852" ht="10.5" customHeight="1"/>
    <row r="1033853" ht="10.5" customHeight="1"/>
    <row r="1033854" ht="10.5" customHeight="1"/>
    <row r="1033855" ht="10.5" customHeight="1"/>
    <row r="1033856" ht="10.5" customHeight="1"/>
    <row r="1033857" ht="10.5" customHeight="1"/>
    <row r="1033858" ht="10.5" customHeight="1"/>
    <row r="1033859" ht="10.5" customHeight="1"/>
    <row r="1033860" ht="10.5" customHeight="1"/>
    <row r="1033861" ht="10.5" customHeight="1"/>
    <row r="1033862" ht="10.5" customHeight="1"/>
    <row r="1033863" ht="10.5" customHeight="1"/>
    <row r="1033864" ht="10.5" customHeight="1"/>
    <row r="1033865" ht="10.5" customHeight="1"/>
    <row r="1033866" ht="10.5" customHeight="1"/>
    <row r="1033867" ht="10.5" customHeight="1"/>
    <row r="1033868" ht="10.5" customHeight="1"/>
    <row r="1033869" ht="10.5" customHeight="1"/>
    <row r="1033870" ht="10.5" customHeight="1"/>
    <row r="1033871" ht="10.5" customHeight="1"/>
    <row r="1033872" ht="10.5" customHeight="1"/>
    <row r="1033873" ht="10.5" customHeight="1"/>
    <row r="1033874" ht="10.5" customHeight="1"/>
    <row r="1033875" ht="10.5" customHeight="1"/>
    <row r="1033876" ht="10.5" customHeight="1"/>
    <row r="1033877" ht="10.5" customHeight="1"/>
    <row r="1033878" ht="10.5" customHeight="1"/>
    <row r="1033879" ht="10.5" customHeight="1"/>
    <row r="1033880" ht="10.5" customHeight="1"/>
    <row r="1033881" ht="10.5" customHeight="1"/>
    <row r="1033882" ht="10.5" customHeight="1"/>
    <row r="1033883" ht="10.5" customHeight="1"/>
    <row r="1033884" ht="10.5" customHeight="1"/>
    <row r="1033885" ht="10.5" customHeight="1"/>
    <row r="1033886" ht="10.5" customHeight="1"/>
    <row r="1033887" ht="10.5" customHeight="1"/>
    <row r="1033888" ht="10.5" customHeight="1"/>
    <row r="1033889" ht="10.5" customHeight="1"/>
    <row r="1033890" ht="10.5" customHeight="1"/>
    <row r="1033891" ht="10.5" customHeight="1"/>
    <row r="1033892" ht="10.5" customHeight="1"/>
    <row r="1033893" ht="10.5" customHeight="1"/>
    <row r="1033894" ht="10.5" customHeight="1"/>
    <row r="1033895" ht="10.5" customHeight="1"/>
    <row r="1033896" ht="10.5" customHeight="1"/>
    <row r="1033897" ht="10.5" customHeight="1"/>
    <row r="1033898" ht="10.5" customHeight="1"/>
    <row r="1033899" ht="10.5" customHeight="1"/>
    <row r="1033900" ht="10.5" customHeight="1"/>
    <row r="1033901" ht="10.5" customHeight="1"/>
    <row r="1033902" ht="10.5" customHeight="1"/>
    <row r="1033903" ht="10.5" customHeight="1"/>
    <row r="1033904" ht="10.5" customHeight="1"/>
    <row r="1033905" ht="10.5" customHeight="1"/>
    <row r="1033906" ht="10.5" customHeight="1"/>
    <row r="1033907" ht="10.5" customHeight="1"/>
    <row r="1033908" ht="10.5" customHeight="1"/>
    <row r="1033909" ht="10.5" customHeight="1"/>
    <row r="1033910" ht="10.5" customHeight="1"/>
    <row r="1033911" ht="10.5" customHeight="1"/>
    <row r="1033912" ht="10.5" customHeight="1"/>
    <row r="1033913" ht="10.5" customHeight="1"/>
    <row r="1033914" ht="10.5" customHeight="1"/>
    <row r="1033915" ht="10.5" customHeight="1"/>
    <row r="1033916" ht="10.5" customHeight="1"/>
    <row r="1033917" ht="10.5" customHeight="1"/>
    <row r="1033918" ht="10.5" customHeight="1"/>
    <row r="1033919" ht="10.5" customHeight="1"/>
    <row r="1033920" ht="10.5" customHeight="1"/>
    <row r="1033921" ht="10.5" customHeight="1"/>
    <row r="1033922" ht="10.5" customHeight="1"/>
    <row r="1033923" ht="10.5" customHeight="1"/>
    <row r="1033924" ht="10.5" customHeight="1"/>
    <row r="1033925" ht="10.5" customHeight="1"/>
    <row r="1033926" ht="10.5" customHeight="1"/>
    <row r="1033927" ht="10.5" customHeight="1"/>
    <row r="1033928" ht="10.5" customHeight="1"/>
    <row r="1033929" ht="10.5" customHeight="1"/>
    <row r="1033930" ht="10.5" customHeight="1"/>
    <row r="1033931" ht="10.5" customHeight="1"/>
    <row r="1033932" ht="10.5" customHeight="1"/>
    <row r="1033933" ht="10.5" customHeight="1"/>
    <row r="1033934" ht="10.5" customHeight="1"/>
    <row r="1033935" ht="10.5" customHeight="1"/>
    <row r="1033936" ht="10.5" customHeight="1"/>
    <row r="1033937" ht="10.5" customHeight="1"/>
    <row r="1033938" ht="10.5" customHeight="1"/>
    <row r="1033939" ht="10.5" customHeight="1"/>
    <row r="1033940" ht="10.5" customHeight="1"/>
    <row r="1033941" ht="10.5" customHeight="1"/>
    <row r="1033942" ht="10.5" customHeight="1"/>
    <row r="1033943" ht="10.5" customHeight="1"/>
    <row r="1033944" ht="10.5" customHeight="1"/>
    <row r="1033945" ht="10.5" customHeight="1"/>
    <row r="1033946" ht="10.5" customHeight="1"/>
    <row r="1033947" ht="10.5" customHeight="1"/>
    <row r="1033948" ht="10.5" customHeight="1"/>
    <row r="1033949" ht="10.5" customHeight="1"/>
    <row r="1033950" ht="10.5" customHeight="1"/>
    <row r="1033951" ht="10.5" customHeight="1"/>
    <row r="1033952" ht="10.5" customHeight="1"/>
    <row r="1033953" ht="10.5" customHeight="1"/>
    <row r="1033954" ht="10.5" customHeight="1"/>
    <row r="1033955" ht="10.5" customHeight="1"/>
    <row r="1033956" ht="10.5" customHeight="1"/>
    <row r="1033957" ht="10.5" customHeight="1"/>
    <row r="1033958" ht="10.5" customHeight="1"/>
    <row r="1033959" ht="10.5" customHeight="1"/>
    <row r="1033960" ht="10.5" customHeight="1"/>
    <row r="1033961" ht="10.5" customHeight="1"/>
    <row r="1033962" ht="10.5" customHeight="1"/>
    <row r="1033963" ht="10.5" customHeight="1"/>
    <row r="1033964" ht="10.5" customHeight="1"/>
    <row r="1033965" ht="10.5" customHeight="1"/>
    <row r="1033966" ht="10.5" customHeight="1"/>
    <row r="1033967" ht="10.5" customHeight="1"/>
    <row r="1033968" ht="10.5" customHeight="1"/>
    <row r="1033969" ht="10.5" customHeight="1"/>
    <row r="1033970" ht="10.5" customHeight="1"/>
    <row r="1033971" ht="10.5" customHeight="1"/>
    <row r="1033972" ht="10.5" customHeight="1"/>
    <row r="1033973" ht="10.5" customHeight="1"/>
    <row r="1033974" ht="10.5" customHeight="1"/>
    <row r="1033975" ht="10.5" customHeight="1"/>
    <row r="1033976" ht="10.5" customHeight="1"/>
    <row r="1033977" ht="10.5" customHeight="1"/>
    <row r="1033978" ht="10.5" customHeight="1"/>
    <row r="1033979" ht="10.5" customHeight="1"/>
    <row r="1033980" ht="10.5" customHeight="1"/>
    <row r="1033981" ht="10.5" customHeight="1"/>
    <row r="1033982" ht="10.5" customHeight="1"/>
    <row r="1033983" ht="10.5" customHeight="1"/>
    <row r="1033984" ht="10.5" customHeight="1"/>
    <row r="1033985" ht="10.5" customHeight="1"/>
    <row r="1033986" ht="10.5" customHeight="1"/>
    <row r="1033987" ht="10.5" customHeight="1"/>
    <row r="1033988" ht="10.5" customHeight="1"/>
    <row r="1033989" ht="10.5" customHeight="1"/>
    <row r="1033990" ht="10.5" customHeight="1"/>
    <row r="1033991" ht="10.5" customHeight="1"/>
    <row r="1033992" ht="10.5" customHeight="1"/>
    <row r="1033993" ht="10.5" customHeight="1"/>
    <row r="1033994" ht="10.5" customHeight="1"/>
    <row r="1033995" ht="10.5" customHeight="1"/>
    <row r="1033996" ht="10.5" customHeight="1"/>
    <row r="1033997" ht="10.5" customHeight="1"/>
    <row r="1033998" ht="10.5" customHeight="1"/>
    <row r="1033999" ht="10.5" customHeight="1"/>
    <row r="1034000" ht="10.5" customHeight="1"/>
    <row r="1034001" ht="10.5" customHeight="1"/>
    <row r="1034002" ht="10.5" customHeight="1"/>
    <row r="1034003" ht="10.5" customHeight="1"/>
    <row r="1034004" ht="10.5" customHeight="1"/>
    <row r="1034005" ht="10.5" customHeight="1"/>
    <row r="1034006" ht="10.5" customHeight="1"/>
    <row r="1034007" ht="10.5" customHeight="1"/>
    <row r="1034008" ht="10.5" customHeight="1"/>
    <row r="1034009" ht="10.5" customHeight="1"/>
    <row r="1034010" ht="10.5" customHeight="1"/>
    <row r="1034011" ht="10.5" customHeight="1"/>
    <row r="1034012" ht="10.5" customHeight="1"/>
    <row r="1034013" ht="10.5" customHeight="1"/>
    <row r="1034014" ht="10.5" customHeight="1"/>
    <row r="1034015" ht="10.5" customHeight="1"/>
    <row r="1034016" ht="10.5" customHeight="1"/>
    <row r="1034017" ht="10.5" customHeight="1"/>
    <row r="1034018" ht="10.5" customHeight="1"/>
    <row r="1034019" ht="10.5" customHeight="1"/>
    <row r="1034020" ht="10.5" customHeight="1"/>
    <row r="1034021" ht="10.5" customHeight="1"/>
    <row r="1034022" ht="10.5" customHeight="1"/>
    <row r="1034023" ht="10.5" customHeight="1"/>
    <row r="1034024" ht="10.5" customHeight="1"/>
    <row r="1034025" ht="10.5" customHeight="1"/>
    <row r="1034026" ht="10.5" customHeight="1"/>
    <row r="1034027" ht="10.5" customHeight="1"/>
    <row r="1034028" ht="10.5" customHeight="1"/>
    <row r="1034029" ht="10.5" customHeight="1"/>
    <row r="1034030" ht="10.5" customHeight="1"/>
    <row r="1034031" ht="10.5" customHeight="1"/>
    <row r="1034032" ht="10.5" customHeight="1"/>
    <row r="1034033" ht="10.5" customHeight="1"/>
    <row r="1034034" ht="10.5" customHeight="1"/>
    <row r="1034035" ht="10.5" customHeight="1"/>
    <row r="1034036" ht="10.5" customHeight="1"/>
    <row r="1034037" ht="10.5" customHeight="1"/>
    <row r="1034038" ht="10.5" customHeight="1"/>
    <row r="1034039" ht="10.5" customHeight="1"/>
    <row r="1034040" ht="10.5" customHeight="1"/>
    <row r="1034041" ht="10.5" customHeight="1"/>
    <row r="1034042" ht="10.5" customHeight="1"/>
    <row r="1034043" ht="10.5" customHeight="1"/>
    <row r="1034044" ht="10.5" customHeight="1"/>
    <row r="1034045" ht="10.5" customHeight="1"/>
    <row r="1034046" ht="10.5" customHeight="1"/>
    <row r="1034047" ht="10.5" customHeight="1"/>
    <row r="1034048" ht="10.5" customHeight="1"/>
    <row r="1034049" ht="10.5" customHeight="1"/>
    <row r="1034050" ht="10.5" customHeight="1"/>
    <row r="1034051" ht="10.5" customHeight="1"/>
    <row r="1034052" ht="10.5" customHeight="1"/>
    <row r="1034053" ht="10.5" customHeight="1"/>
    <row r="1034054" ht="10.5" customHeight="1"/>
    <row r="1034055" ht="10.5" customHeight="1"/>
    <row r="1034056" ht="10.5" customHeight="1"/>
    <row r="1034057" ht="10.5" customHeight="1"/>
    <row r="1034058" ht="10.5" customHeight="1"/>
    <row r="1034059" ht="10.5" customHeight="1"/>
    <row r="1034060" ht="10.5" customHeight="1"/>
    <row r="1034061" ht="10.5" customHeight="1"/>
    <row r="1034062" ht="10.5" customHeight="1"/>
    <row r="1034063" ht="10.5" customHeight="1"/>
    <row r="1034064" ht="10.5" customHeight="1"/>
    <row r="1034065" ht="10.5" customHeight="1"/>
    <row r="1034066" ht="10.5" customHeight="1"/>
    <row r="1034067" ht="10.5" customHeight="1"/>
    <row r="1034068" ht="10.5" customHeight="1"/>
    <row r="1034069" ht="10.5" customHeight="1"/>
    <row r="1034070" ht="10.5" customHeight="1"/>
    <row r="1034071" ht="10.5" customHeight="1"/>
    <row r="1034072" ht="10.5" customHeight="1"/>
    <row r="1034073" ht="10.5" customHeight="1"/>
    <row r="1034074" ht="10.5" customHeight="1"/>
    <row r="1034075" ht="10.5" customHeight="1"/>
    <row r="1034076" ht="10.5" customHeight="1"/>
    <row r="1034077" ht="10.5" customHeight="1"/>
    <row r="1034078" ht="10.5" customHeight="1"/>
    <row r="1034079" ht="10.5" customHeight="1"/>
    <row r="1034080" ht="10.5" customHeight="1"/>
    <row r="1034081" ht="10.5" customHeight="1"/>
    <row r="1034082" ht="10.5" customHeight="1"/>
    <row r="1034083" ht="10.5" customHeight="1"/>
    <row r="1034084" ht="10.5" customHeight="1"/>
    <row r="1034085" ht="10.5" customHeight="1"/>
    <row r="1034086" ht="10.5" customHeight="1"/>
    <row r="1034087" ht="10.5" customHeight="1"/>
    <row r="1034088" ht="10.5" customHeight="1"/>
    <row r="1034089" ht="10.5" customHeight="1"/>
    <row r="1034090" ht="10.5" customHeight="1"/>
    <row r="1034091" ht="10.5" customHeight="1"/>
    <row r="1034092" ht="10.5" customHeight="1"/>
    <row r="1034093" ht="10.5" customHeight="1"/>
    <row r="1034094" ht="10.5" customHeight="1"/>
    <row r="1034095" ht="10.5" customHeight="1"/>
    <row r="1034096" ht="10.5" customHeight="1"/>
    <row r="1034097" ht="10.5" customHeight="1"/>
    <row r="1034098" ht="10.5" customHeight="1"/>
    <row r="1034099" ht="10.5" customHeight="1"/>
    <row r="1034100" ht="10.5" customHeight="1"/>
    <row r="1034101" ht="10.5" customHeight="1"/>
    <row r="1034102" ht="10.5" customHeight="1"/>
    <row r="1034103" ht="10.5" customHeight="1"/>
    <row r="1034104" ht="10.5" customHeight="1"/>
    <row r="1034105" ht="10.5" customHeight="1"/>
    <row r="1034106" ht="10.5" customHeight="1"/>
    <row r="1034107" ht="10.5" customHeight="1"/>
    <row r="1034108" ht="10.5" customHeight="1"/>
    <row r="1034109" ht="10.5" customHeight="1"/>
    <row r="1034110" ht="10.5" customHeight="1"/>
    <row r="1034111" ht="10.5" customHeight="1"/>
    <row r="1034112" ht="10.5" customHeight="1"/>
    <row r="1034113" ht="10.5" customHeight="1"/>
    <row r="1034114" ht="10.5" customHeight="1"/>
    <row r="1034115" ht="10.5" customHeight="1"/>
    <row r="1034116" ht="10.5" customHeight="1"/>
    <row r="1034117" ht="10.5" customHeight="1"/>
    <row r="1034118" ht="10.5" customHeight="1"/>
    <row r="1034119" ht="10.5" customHeight="1"/>
    <row r="1034120" ht="10.5" customHeight="1"/>
    <row r="1034121" ht="10.5" customHeight="1"/>
    <row r="1034122" ht="10.5" customHeight="1"/>
    <row r="1034123" ht="10.5" customHeight="1"/>
    <row r="1034124" ht="10.5" customHeight="1"/>
    <row r="1034125" ht="10.5" customHeight="1"/>
    <row r="1034126" ht="10.5" customHeight="1"/>
    <row r="1034127" ht="10.5" customHeight="1"/>
    <row r="1034128" ht="10.5" customHeight="1"/>
    <row r="1034129" ht="10.5" customHeight="1"/>
    <row r="1034130" ht="10.5" customHeight="1"/>
    <row r="1034131" ht="10.5" customHeight="1"/>
    <row r="1034132" ht="10.5" customHeight="1"/>
    <row r="1034133" ht="10.5" customHeight="1"/>
    <row r="1034134" ht="10.5" customHeight="1"/>
    <row r="1034135" ht="10.5" customHeight="1"/>
    <row r="1034136" ht="10.5" customHeight="1"/>
    <row r="1034137" ht="10.5" customHeight="1"/>
    <row r="1034138" ht="10.5" customHeight="1"/>
    <row r="1034139" ht="10.5" customHeight="1"/>
    <row r="1034140" ht="10.5" customHeight="1"/>
    <row r="1034141" ht="10.5" customHeight="1"/>
    <row r="1034142" ht="10.5" customHeight="1"/>
    <row r="1034143" ht="10.5" customHeight="1"/>
    <row r="1034144" ht="10.5" customHeight="1"/>
    <row r="1034145" ht="10.5" customHeight="1"/>
    <row r="1034146" ht="10.5" customHeight="1"/>
    <row r="1034147" ht="10.5" customHeight="1"/>
    <row r="1034148" ht="10.5" customHeight="1"/>
    <row r="1034149" ht="10.5" customHeight="1"/>
    <row r="1034150" ht="10.5" customHeight="1"/>
    <row r="1034151" ht="10.5" customHeight="1"/>
    <row r="1034152" ht="10.5" customHeight="1"/>
    <row r="1034153" ht="10.5" customHeight="1"/>
    <row r="1034154" ht="10.5" customHeight="1"/>
    <row r="1034155" ht="10.5" customHeight="1"/>
    <row r="1034156" ht="10.5" customHeight="1"/>
    <row r="1034157" ht="10.5" customHeight="1"/>
    <row r="1034158" ht="10.5" customHeight="1"/>
    <row r="1034159" ht="10.5" customHeight="1"/>
    <row r="1034160" ht="10.5" customHeight="1"/>
    <row r="1034161" ht="10.5" customHeight="1"/>
    <row r="1034162" ht="10.5" customHeight="1"/>
    <row r="1034163" ht="10.5" customHeight="1"/>
    <row r="1034164" ht="10.5" customHeight="1"/>
    <row r="1034165" ht="10.5" customHeight="1"/>
    <row r="1034166" ht="10.5" customHeight="1"/>
    <row r="1034167" ht="10.5" customHeight="1"/>
    <row r="1034168" ht="10.5" customHeight="1"/>
    <row r="1034169" ht="10.5" customHeight="1"/>
    <row r="1034170" ht="10.5" customHeight="1"/>
    <row r="1034171" ht="10.5" customHeight="1"/>
    <row r="1034172" ht="10.5" customHeight="1"/>
    <row r="1034173" ht="10.5" customHeight="1"/>
    <row r="1034174" ht="10.5" customHeight="1"/>
    <row r="1034175" ht="10.5" customHeight="1"/>
    <row r="1034176" ht="10.5" customHeight="1"/>
    <row r="1034177" ht="10.5" customHeight="1"/>
    <row r="1034178" ht="10.5" customHeight="1"/>
    <row r="1034179" ht="10.5" customHeight="1"/>
    <row r="1034180" ht="10.5" customHeight="1"/>
    <row r="1034181" ht="10.5" customHeight="1"/>
    <row r="1034182" ht="10.5" customHeight="1"/>
    <row r="1034183" ht="10.5" customHeight="1"/>
    <row r="1034184" ht="10.5" customHeight="1"/>
    <row r="1034185" ht="10.5" customHeight="1"/>
    <row r="1034186" ht="10.5" customHeight="1"/>
    <row r="1034187" ht="10.5" customHeight="1"/>
    <row r="1034188" ht="10.5" customHeight="1"/>
    <row r="1034189" ht="10.5" customHeight="1"/>
    <row r="1034190" ht="10.5" customHeight="1"/>
    <row r="1034191" ht="10.5" customHeight="1"/>
    <row r="1034192" ht="10.5" customHeight="1"/>
    <row r="1034193" ht="10.5" customHeight="1"/>
    <row r="1034194" ht="10.5" customHeight="1"/>
    <row r="1034195" ht="10.5" customHeight="1"/>
    <row r="1034196" ht="10.5" customHeight="1"/>
    <row r="1034197" ht="10.5" customHeight="1"/>
    <row r="1034198" ht="10.5" customHeight="1"/>
    <row r="1034199" ht="10.5" customHeight="1"/>
    <row r="1034200" ht="10.5" customHeight="1"/>
    <row r="1034201" ht="10.5" customHeight="1"/>
    <row r="1034202" ht="10.5" customHeight="1"/>
    <row r="1034203" ht="10.5" customHeight="1"/>
    <row r="1034204" ht="10.5" customHeight="1"/>
    <row r="1034205" ht="10.5" customHeight="1"/>
    <row r="1034206" ht="10.5" customHeight="1"/>
    <row r="1034207" ht="10.5" customHeight="1"/>
    <row r="1034208" ht="10.5" customHeight="1"/>
    <row r="1034209" ht="10.5" customHeight="1"/>
    <row r="1034210" ht="10.5" customHeight="1"/>
    <row r="1034211" ht="10.5" customHeight="1"/>
    <row r="1034212" ht="10.5" customHeight="1"/>
    <row r="1034213" ht="10.5" customHeight="1"/>
    <row r="1034214" ht="10.5" customHeight="1"/>
    <row r="1034215" ht="10.5" customHeight="1"/>
    <row r="1034216" ht="10.5" customHeight="1"/>
    <row r="1034217" ht="10.5" customHeight="1"/>
    <row r="1034218" ht="10.5" customHeight="1"/>
    <row r="1034219" ht="10.5" customHeight="1"/>
    <row r="1034220" ht="10.5" customHeight="1"/>
    <row r="1034221" ht="10.5" customHeight="1"/>
    <row r="1034222" ht="10.5" customHeight="1"/>
    <row r="1034223" ht="10.5" customHeight="1"/>
    <row r="1034224" ht="10.5" customHeight="1"/>
    <row r="1034225" ht="10.5" customHeight="1"/>
    <row r="1034226" ht="10.5" customHeight="1"/>
    <row r="1034227" ht="10.5" customHeight="1"/>
    <row r="1034228" ht="10.5" customHeight="1"/>
    <row r="1034229" ht="10.5" customHeight="1"/>
    <row r="1034230" ht="10.5" customHeight="1"/>
    <row r="1034231" ht="10.5" customHeight="1"/>
    <row r="1034232" ht="10.5" customHeight="1"/>
    <row r="1034233" ht="10.5" customHeight="1"/>
    <row r="1034234" ht="10.5" customHeight="1"/>
    <row r="1034235" ht="10.5" customHeight="1"/>
    <row r="1034236" ht="10.5" customHeight="1"/>
    <row r="1034237" ht="10.5" customHeight="1"/>
    <row r="1034238" ht="10.5" customHeight="1"/>
    <row r="1034239" ht="10.5" customHeight="1"/>
    <row r="1034240" ht="10.5" customHeight="1"/>
    <row r="1034241" ht="10.5" customHeight="1"/>
    <row r="1034242" ht="10.5" customHeight="1"/>
    <row r="1034243" ht="10.5" customHeight="1"/>
    <row r="1034244" ht="10.5" customHeight="1"/>
    <row r="1034245" ht="10.5" customHeight="1"/>
    <row r="1034246" ht="10.5" customHeight="1"/>
    <row r="1034247" ht="10.5" customHeight="1"/>
    <row r="1034248" ht="10.5" customHeight="1"/>
    <row r="1034249" ht="10.5" customHeight="1"/>
    <row r="1034250" ht="10.5" customHeight="1"/>
    <row r="1034251" ht="10.5" customHeight="1"/>
    <row r="1034252" ht="10.5" customHeight="1"/>
    <row r="1034253" ht="10.5" customHeight="1"/>
    <row r="1034254" ht="10.5" customHeight="1"/>
    <row r="1034255" ht="10.5" customHeight="1"/>
    <row r="1034256" ht="10.5" customHeight="1"/>
    <row r="1034257" ht="10.5" customHeight="1"/>
    <row r="1034258" ht="10.5" customHeight="1"/>
    <row r="1034259" ht="10.5" customHeight="1"/>
    <row r="1034260" ht="10.5" customHeight="1"/>
    <row r="1034261" ht="10.5" customHeight="1"/>
    <row r="1034262" ht="10.5" customHeight="1"/>
    <row r="1034263" ht="10.5" customHeight="1"/>
    <row r="1034264" ht="10.5" customHeight="1"/>
    <row r="1034265" ht="10.5" customHeight="1"/>
    <row r="1034266" ht="10.5" customHeight="1"/>
    <row r="1034267" ht="10.5" customHeight="1"/>
    <row r="1034268" ht="10.5" customHeight="1"/>
    <row r="1034269" ht="10.5" customHeight="1"/>
    <row r="1034270" ht="10.5" customHeight="1"/>
    <row r="1034271" ht="10.5" customHeight="1"/>
    <row r="1034272" ht="10.5" customHeight="1"/>
    <row r="1034273" ht="10.5" customHeight="1"/>
    <row r="1034274" ht="10.5" customHeight="1"/>
    <row r="1034275" ht="10.5" customHeight="1"/>
    <row r="1034276" ht="10.5" customHeight="1"/>
    <row r="1034277" ht="10.5" customHeight="1"/>
    <row r="1034278" ht="10.5" customHeight="1"/>
    <row r="1034279" ht="10.5" customHeight="1"/>
    <row r="1034280" ht="10.5" customHeight="1"/>
    <row r="1034281" ht="10.5" customHeight="1"/>
    <row r="1034282" ht="10.5" customHeight="1"/>
    <row r="1034283" ht="10.5" customHeight="1"/>
    <row r="1034284" ht="10.5" customHeight="1"/>
    <row r="1034285" ht="10.5" customHeight="1"/>
    <row r="1034286" ht="10.5" customHeight="1"/>
    <row r="1034287" ht="10.5" customHeight="1"/>
    <row r="1034288" ht="10.5" customHeight="1"/>
    <row r="1034289" ht="10.5" customHeight="1"/>
    <row r="1034290" ht="10.5" customHeight="1"/>
    <row r="1034291" ht="10.5" customHeight="1"/>
    <row r="1034292" ht="10.5" customHeight="1"/>
    <row r="1034293" ht="10.5" customHeight="1"/>
    <row r="1034294" ht="10.5" customHeight="1"/>
    <row r="1034295" ht="10.5" customHeight="1"/>
    <row r="1034296" ht="10.5" customHeight="1"/>
    <row r="1034297" ht="10.5" customHeight="1"/>
    <row r="1034298" ht="10.5" customHeight="1"/>
    <row r="1034299" ht="10.5" customHeight="1"/>
    <row r="1034300" ht="10.5" customHeight="1"/>
    <row r="1034301" ht="10.5" customHeight="1"/>
    <row r="1034302" ht="10.5" customHeight="1"/>
    <row r="1034303" ht="10.5" customHeight="1"/>
    <row r="1034304" ht="10.5" customHeight="1"/>
    <row r="1034305" ht="10.5" customHeight="1"/>
    <row r="1034306" ht="10.5" customHeight="1"/>
    <row r="1034307" ht="10.5" customHeight="1"/>
    <row r="1034308" ht="10.5" customHeight="1"/>
    <row r="1034309" ht="10.5" customHeight="1"/>
    <row r="1034310" ht="10.5" customHeight="1"/>
    <row r="1034311" ht="10.5" customHeight="1"/>
    <row r="1034312" ht="10.5" customHeight="1"/>
    <row r="1034313" ht="10.5" customHeight="1"/>
    <row r="1034314" ht="10.5" customHeight="1"/>
    <row r="1034315" ht="10.5" customHeight="1"/>
    <row r="1034316" ht="10.5" customHeight="1"/>
    <row r="1034317" ht="10.5" customHeight="1"/>
    <row r="1034318" ht="10.5" customHeight="1"/>
    <row r="1034319" ht="10.5" customHeight="1"/>
    <row r="1034320" ht="10.5" customHeight="1"/>
    <row r="1034321" ht="10.5" customHeight="1"/>
    <row r="1034322" ht="10.5" customHeight="1"/>
    <row r="1034323" ht="10.5" customHeight="1"/>
    <row r="1034324" ht="10.5" customHeight="1"/>
    <row r="1034325" ht="10.5" customHeight="1"/>
    <row r="1034326" ht="10.5" customHeight="1"/>
    <row r="1034327" ht="10.5" customHeight="1"/>
    <row r="1034328" ht="10.5" customHeight="1"/>
    <row r="1034329" ht="10.5" customHeight="1"/>
    <row r="1034330" ht="10.5" customHeight="1"/>
    <row r="1034331" ht="10.5" customHeight="1"/>
    <row r="1034332" ht="10.5" customHeight="1"/>
    <row r="1034333" ht="10.5" customHeight="1"/>
    <row r="1034334" ht="10.5" customHeight="1"/>
    <row r="1034335" ht="10.5" customHeight="1"/>
    <row r="1034336" ht="10.5" customHeight="1"/>
    <row r="1034337" ht="10.5" customHeight="1"/>
    <row r="1034338" ht="10.5" customHeight="1"/>
    <row r="1034339" ht="10.5" customHeight="1"/>
    <row r="1034340" ht="10.5" customHeight="1"/>
    <row r="1034341" ht="10.5" customHeight="1"/>
    <row r="1034342" ht="10.5" customHeight="1"/>
    <row r="1034343" ht="10.5" customHeight="1"/>
    <row r="1034344" ht="10.5" customHeight="1"/>
    <row r="1034345" ht="10.5" customHeight="1"/>
    <row r="1034346" ht="10.5" customHeight="1"/>
    <row r="1034347" ht="10.5" customHeight="1"/>
    <row r="1034348" ht="10.5" customHeight="1"/>
    <row r="1034349" ht="10.5" customHeight="1"/>
    <row r="1034350" ht="10.5" customHeight="1"/>
    <row r="1034351" ht="10.5" customHeight="1"/>
    <row r="1034352" ht="10.5" customHeight="1"/>
    <row r="1034353" ht="10.5" customHeight="1"/>
    <row r="1034354" ht="10.5" customHeight="1"/>
    <row r="1034355" ht="10.5" customHeight="1"/>
    <row r="1034356" ht="10.5" customHeight="1"/>
    <row r="1034357" ht="10.5" customHeight="1"/>
    <row r="1034358" ht="10.5" customHeight="1"/>
    <row r="1034359" ht="10.5" customHeight="1"/>
    <row r="1034360" ht="10.5" customHeight="1"/>
    <row r="1034361" ht="10.5" customHeight="1"/>
    <row r="1034362" ht="10.5" customHeight="1"/>
    <row r="1034363" ht="10.5" customHeight="1"/>
    <row r="1034364" ht="10.5" customHeight="1"/>
    <row r="1034365" ht="10.5" customHeight="1"/>
    <row r="1034366" ht="10.5" customHeight="1"/>
    <row r="1034367" ht="10.5" customHeight="1"/>
    <row r="1034368" ht="10.5" customHeight="1"/>
    <row r="1034369" ht="10.5" customHeight="1"/>
    <row r="1034370" ht="10.5" customHeight="1"/>
    <row r="1034371" ht="10.5" customHeight="1"/>
    <row r="1034372" ht="10.5" customHeight="1"/>
    <row r="1034373" ht="10.5" customHeight="1"/>
    <row r="1034374" ht="10.5" customHeight="1"/>
    <row r="1034375" ht="10.5" customHeight="1"/>
    <row r="1034376" ht="10.5" customHeight="1"/>
    <row r="1034377" ht="10.5" customHeight="1"/>
    <row r="1034378" ht="10.5" customHeight="1"/>
    <row r="1034379" ht="10.5" customHeight="1"/>
    <row r="1034380" ht="10.5" customHeight="1"/>
    <row r="1034381" ht="10.5" customHeight="1"/>
    <row r="1034382" ht="10.5" customHeight="1"/>
    <row r="1034383" ht="10.5" customHeight="1"/>
    <row r="1034384" ht="10.5" customHeight="1"/>
    <row r="1034385" ht="10.5" customHeight="1"/>
    <row r="1034386" ht="10.5" customHeight="1"/>
    <row r="1034387" ht="10.5" customHeight="1"/>
    <row r="1034388" ht="10.5" customHeight="1"/>
    <row r="1034389" ht="10.5" customHeight="1"/>
    <row r="1034390" ht="10.5" customHeight="1"/>
    <row r="1034391" ht="10.5" customHeight="1"/>
    <row r="1034392" ht="10.5" customHeight="1"/>
    <row r="1034393" ht="10.5" customHeight="1"/>
    <row r="1034394" ht="10.5" customHeight="1"/>
    <row r="1034395" ht="10.5" customHeight="1"/>
    <row r="1034396" ht="10.5" customHeight="1"/>
    <row r="1034397" ht="10.5" customHeight="1"/>
    <row r="1034398" ht="10.5" customHeight="1"/>
    <row r="1034399" ht="10.5" customHeight="1"/>
    <row r="1034400" ht="10.5" customHeight="1"/>
    <row r="1034401" ht="10.5" customHeight="1"/>
    <row r="1034402" ht="10.5" customHeight="1"/>
    <row r="1034403" ht="10.5" customHeight="1"/>
    <row r="1034404" ht="10.5" customHeight="1"/>
    <row r="1034405" ht="10.5" customHeight="1"/>
    <row r="1034406" ht="10.5" customHeight="1"/>
    <row r="1034407" ht="10.5" customHeight="1"/>
    <row r="1034408" ht="10.5" customHeight="1"/>
    <row r="1034409" ht="10.5" customHeight="1"/>
    <row r="1034410" ht="10.5" customHeight="1"/>
    <row r="1034411" ht="10.5" customHeight="1"/>
    <row r="1034412" ht="10.5" customHeight="1"/>
    <row r="1034413" ht="10.5" customHeight="1"/>
    <row r="1034414" ht="10.5" customHeight="1"/>
    <row r="1034415" ht="10.5" customHeight="1"/>
    <row r="1034416" ht="10.5" customHeight="1"/>
    <row r="1034417" ht="10.5" customHeight="1"/>
    <row r="1034418" ht="10.5" customHeight="1"/>
    <row r="1034419" ht="10.5" customHeight="1"/>
    <row r="1034420" ht="10.5" customHeight="1"/>
    <row r="1034421" ht="10.5" customHeight="1"/>
    <row r="1034422" ht="10.5" customHeight="1"/>
    <row r="1034423" ht="10.5" customHeight="1"/>
    <row r="1034424" ht="10.5" customHeight="1"/>
    <row r="1034425" ht="10.5" customHeight="1"/>
    <row r="1034426" ht="10.5" customHeight="1"/>
    <row r="1034427" ht="10.5" customHeight="1"/>
    <row r="1034428" ht="10.5" customHeight="1"/>
    <row r="1034429" ht="10.5" customHeight="1"/>
    <row r="1034430" ht="10.5" customHeight="1"/>
    <row r="1034431" ht="10.5" customHeight="1"/>
    <row r="1034432" ht="10.5" customHeight="1"/>
    <row r="1034433" ht="10.5" customHeight="1"/>
    <row r="1034434" ht="10.5" customHeight="1"/>
    <row r="1034435" ht="10.5" customHeight="1"/>
    <row r="1034436" ht="10.5" customHeight="1"/>
    <row r="1034437" ht="10.5" customHeight="1"/>
    <row r="1034438" ht="10.5" customHeight="1"/>
    <row r="1034439" ht="10.5" customHeight="1"/>
    <row r="1034440" ht="10.5" customHeight="1"/>
    <row r="1034441" ht="10.5" customHeight="1"/>
    <row r="1034442" ht="10.5" customHeight="1"/>
    <row r="1034443" ht="10.5" customHeight="1"/>
    <row r="1034444" ht="10.5" customHeight="1"/>
    <row r="1034445" ht="10.5" customHeight="1"/>
    <row r="1034446" ht="10.5" customHeight="1"/>
    <row r="1034447" ht="10.5" customHeight="1"/>
    <row r="1034448" ht="10.5" customHeight="1"/>
    <row r="1034449" ht="10.5" customHeight="1"/>
    <row r="1034450" ht="10.5" customHeight="1"/>
    <row r="1034451" ht="10.5" customHeight="1"/>
    <row r="1034452" ht="10.5" customHeight="1"/>
    <row r="1034453" ht="10.5" customHeight="1"/>
    <row r="1034454" ht="10.5" customHeight="1"/>
    <row r="1034455" ht="10.5" customHeight="1"/>
    <row r="1034456" ht="10.5" customHeight="1"/>
    <row r="1034457" ht="10.5" customHeight="1"/>
    <row r="1034458" ht="10.5" customHeight="1"/>
    <row r="1034459" ht="10.5" customHeight="1"/>
    <row r="1034460" ht="10.5" customHeight="1"/>
    <row r="1034461" ht="10.5" customHeight="1"/>
    <row r="1034462" ht="10.5" customHeight="1"/>
    <row r="1034463" ht="10.5" customHeight="1"/>
    <row r="1034464" ht="10.5" customHeight="1"/>
    <row r="1034465" ht="10.5" customHeight="1"/>
    <row r="1034466" ht="10.5" customHeight="1"/>
    <row r="1034467" ht="10.5" customHeight="1"/>
    <row r="1034468" ht="10.5" customHeight="1"/>
    <row r="1034469" ht="10.5" customHeight="1"/>
    <row r="1034470" ht="10.5" customHeight="1"/>
    <row r="1034471" ht="10.5" customHeight="1"/>
    <row r="1034472" ht="10.5" customHeight="1"/>
    <row r="1034473" ht="10.5" customHeight="1"/>
    <row r="1034474" ht="10.5" customHeight="1"/>
    <row r="1034475" ht="10.5" customHeight="1"/>
    <row r="1034476" ht="10.5" customHeight="1"/>
    <row r="1034477" ht="10.5" customHeight="1"/>
    <row r="1034478" ht="10.5" customHeight="1"/>
    <row r="1034479" ht="10.5" customHeight="1"/>
    <row r="1034480" ht="10.5" customHeight="1"/>
    <row r="1034481" ht="10.5" customHeight="1"/>
    <row r="1034482" ht="10.5" customHeight="1"/>
    <row r="1034483" ht="10.5" customHeight="1"/>
    <row r="1034484" ht="10.5" customHeight="1"/>
    <row r="1034485" ht="10.5" customHeight="1"/>
    <row r="1034486" ht="10.5" customHeight="1"/>
    <row r="1034487" ht="10.5" customHeight="1"/>
    <row r="1034488" ht="10.5" customHeight="1"/>
    <row r="1034489" ht="10.5" customHeight="1"/>
    <row r="1034490" ht="10.5" customHeight="1"/>
    <row r="1034491" ht="10.5" customHeight="1"/>
    <row r="1034492" ht="10.5" customHeight="1"/>
    <row r="1034493" ht="10.5" customHeight="1"/>
    <row r="1034494" ht="10.5" customHeight="1"/>
    <row r="1034495" ht="10.5" customHeight="1"/>
    <row r="1034496" ht="10.5" customHeight="1"/>
    <row r="1034497" ht="10.5" customHeight="1"/>
    <row r="1034498" ht="10.5" customHeight="1"/>
    <row r="1034499" ht="10.5" customHeight="1"/>
    <row r="1034500" ht="10.5" customHeight="1"/>
    <row r="1034501" ht="10.5" customHeight="1"/>
    <row r="1034502" ht="10.5" customHeight="1"/>
    <row r="1034503" ht="10.5" customHeight="1"/>
    <row r="1034504" ht="10.5" customHeight="1"/>
    <row r="1034505" ht="10.5" customHeight="1"/>
    <row r="1034506" ht="10.5" customHeight="1"/>
    <row r="1034507" ht="10.5" customHeight="1"/>
    <row r="1034508" ht="10.5" customHeight="1"/>
    <row r="1034509" ht="10.5" customHeight="1"/>
    <row r="1034510" ht="10.5" customHeight="1"/>
    <row r="1034511" ht="10.5" customHeight="1"/>
    <row r="1034512" ht="10.5" customHeight="1"/>
    <row r="1034513" ht="10.5" customHeight="1"/>
    <row r="1034514" ht="10.5" customHeight="1"/>
    <row r="1034515" ht="10.5" customHeight="1"/>
    <row r="1034516" ht="10.5" customHeight="1"/>
    <row r="1034517" ht="10.5" customHeight="1"/>
    <row r="1034518" ht="10.5" customHeight="1"/>
    <row r="1034519" ht="10.5" customHeight="1"/>
    <row r="1034520" ht="10.5" customHeight="1"/>
    <row r="1034521" ht="10.5" customHeight="1"/>
    <row r="1034522" ht="10.5" customHeight="1"/>
    <row r="1034523" ht="10.5" customHeight="1"/>
    <row r="1034524" ht="10.5" customHeight="1"/>
    <row r="1034525" ht="10.5" customHeight="1"/>
    <row r="1034526" ht="10.5" customHeight="1"/>
    <row r="1034527" ht="10.5" customHeight="1"/>
    <row r="1034528" ht="10.5" customHeight="1"/>
    <row r="1034529" ht="10.5" customHeight="1"/>
    <row r="1034530" ht="10.5" customHeight="1"/>
    <row r="1034531" ht="10.5" customHeight="1"/>
    <row r="1034532" ht="10.5" customHeight="1"/>
    <row r="1034533" ht="10.5" customHeight="1"/>
    <row r="1034534" ht="10.5" customHeight="1"/>
    <row r="1034535" ht="10.5" customHeight="1"/>
    <row r="1034536" ht="10.5" customHeight="1"/>
    <row r="1034537" ht="10.5" customHeight="1"/>
    <row r="1034538" ht="10.5" customHeight="1"/>
    <row r="1034539" ht="10.5" customHeight="1"/>
    <row r="1034540" ht="10.5" customHeight="1"/>
    <row r="1034541" ht="10.5" customHeight="1"/>
    <row r="1034542" ht="10.5" customHeight="1"/>
    <row r="1034543" ht="10.5" customHeight="1"/>
    <row r="1034544" ht="10.5" customHeight="1"/>
    <row r="1034545" ht="10.5" customHeight="1"/>
    <row r="1034546" ht="10.5" customHeight="1"/>
    <row r="1034547" ht="10.5" customHeight="1"/>
    <row r="1034548" ht="10.5" customHeight="1"/>
    <row r="1034549" ht="10.5" customHeight="1"/>
    <row r="1034550" ht="10.5" customHeight="1"/>
    <row r="1034551" ht="10.5" customHeight="1"/>
    <row r="1034552" ht="10.5" customHeight="1"/>
    <row r="1034553" ht="10.5" customHeight="1"/>
    <row r="1034554" ht="10.5" customHeight="1"/>
    <row r="1034555" ht="10.5" customHeight="1"/>
    <row r="1034556" ht="10.5" customHeight="1"/>
    <row r="1034557" ht="10.5" customHeight="1"/>
    <row r="1034558" ht="10.5" customHeight="1"/>
    <row r="1034559" ht="10.5" customHeight="1"/>
    <row r="1034560" ht="10.5" customHeight="1"/>
    <row r="1034561" ht="10.5" customHeight="1"/>
    <row r="1034562" ht="10.5" customHeight="1"/>
    <row r="1034563" ht="10.5" customHeight="1"/>
    <row r="1034564" ht="10.5" customHeight="1"/>
    <row r="1034565" ht="10.5" customHeight="1"/>
    <row r="1034566" ht="10.5" customHeight="1"/>
    <row r="1034567" ht="10.5" customHeight="1"/>
    <row r="1034568" ht="10.5" customHeight="1"/>
    <row r="1034569" ht="10.5" customHeight="1"/>
    <row r="1034570" ht="10.5" customHeight="1"/>
    <row r="1034571" ht="10.5" customHeight="1"/>
    <row r="1034572" ht="10.5" customHeight="1"/>
    <row r="1034573" ht="10.5" customHeight="1"/>
    <row r="1034574" ht="10.5" customHeight="1"/>
    <row r="1034575" ht="10.5" customHeight="1"/>
    <row r="1034576" ht="10.5" customHeight="1"/>
    <row r="1034577" ht="10.5" customHeight="1"/>
    <row r="1034578" ht="10.5" customHeight="1"/>
    <row r="1034579" ht="10.5" customHeight="1"/>
    <row r="1034580" ht="10.5" customHeight="1"/>
    <row r="1034581" ht="10.5" customHeight="1"/>
    <row r="1034582" ht="10.5" customHeight="1"/>
    <row r="1034583" ht="10.5" customHeight="1"/>
    <row r="1034584" ht="10.5" customHeight="1"/>
    <row r="1034585" ht="10.5" customHeight="1"/>
    <row r="1034586" ht="10.5" customHeight="1"/>
    <row r="1034587" ht="10.5" customHeight="1"/>
    <row r="1034588" ht="10.5" customHeight="1"/>
    <row r="1034589" ht="10.5" customHeight="1"/>
    <row r="1034590" ht="10.5" customHeight="1"/>
    <row r="1034591" ht="10.5" customHeight="1"/>
    <row r="1034592" ht="10.5" customHeight="1"/>
    <row r="1034593" ht="10.5" customHeight="1"/>
    <row r="1034594" ht="10.5" customHeight="1"/>
    <row r="1034595" ht="10.5" customHeight="1"/>
    <row r="1034596" ht="10.5" customHeight="1"/>
    <row r="1034597" ht="10.5" customHeight="1"/>
    <row r="1034598" ht="10.5" customHeight="1"/>
    <row r="1034599" ht="10.5" customHeight="1"/>
    <row r="1034600" ht="10.5" customHeight="1"/>
    <row r="1034601" ht="10.5" customHeight="1"/>
    <row r="1034602" ht="10.5" customHeight="1"/>
    <row r="1034603" ht="10.5" customHeight="1"/>
    <row r="1034604" ht="10.5" customHeight="1"/>
    <row r="1034605" ht="10.5" customHeight="1"/>
    <row r="1034606" ht="10.5" customHeight="1"/>
    <row r="1034607" ht="10.5" customHeight="1"/>
    <row r="1034608" ht="10.5" customHeight="1"/>
    <row r="1034609" ht="10.5" customHeight="1"/>
    <row r="1034610" ht="10.5" customHeight="1"/>
    <row r="1034611" ht="10.5" customHeight="1"/>
    <row r="1034612" ht="10.5" customHeight="1"/>
    <row r="1034613" ht="10.5" customHeight="1"/>
    <row r="1034614" ht="10.5" customHeight="1"/>
    <row r="1034615" ht="10.5" customHeight="1"/>
    <row r="1034616" ht="10.5" customHeight="1"/>
    <row r="1034617" ht="10.5" customHeight="1"/>
    <row r="1034618" ht="10.5" customHeight="1"/>
    <row r="1034619" ht="10.5" customHeight="1"/>
    <row r="1034620" ht="10.5" customHeight="1"/>
    <row r="1034621" ht="10.5" customHeight="1"/>
    <row r="1034622" ht="10.5" customHeight="1"/>
    <row r="1034623" ht="10.5" customHeight="1"/>
    <row r="1034624" ht="10.5" customHeight="1"/>
    <row r="1034625" ht="10.5" customHeight="1"/>
    <row r="1034626" ht="10.5" customHeight="1"/>
    <row r="1034627" ht="10.5" customHeight="1"/>
    <row r="1034628" ht="10.5" customHeight="1"/>
    <row r="1034629" ht="10.5" customHeight="1"/>
    <row r="1034630" ht="10.5" customHeight="1"/>
    <row r="1034631" ht="10.5" customHeight="1"/>
    <row r="1034632" ht="10.5" customHeight="1"/>
    <row r="1034633" ht="10.5" customHeight="1"/>
    <row r="1034634" ht="10.5" customHeight="1"/>
    <row r="1034635" ht="10.5" customHeight="1"/>
    <row r="1034636" ht="10.5" customHeight="1"/>
    <row r="1034637" ht="10.5" customHeight="1"/>
    <row r="1034638" ht="10.5" customHeight="1"/>
    <row r="1034639" ht="10.5" customHeight="1"/>
    <row r="1034640" ht="10.5" customHeight="1"/>
    <row r="1034641" ht="10.5" customHeight="1"/>
    <row r="1034642" ht="10.5" customHeight="1"/>
    <row r="1034643" ht="10.5" customHeight="1"/>
    <row r="1034644" ht="10.5" customHeight="1"/>
    <row r="1034645" ht="10.5" customHeight="1"/>
    <row r="1034646" ht="10.5" customHeight="1"/>
    <row r="1034647" ht="10.5" customHeight="1"/>
    <row r="1034648" ht="10.5" customHeight="1"/>
    <row r="1034649" ht="10.5" customHeight="1"/>
    <row r="1034650" ht="10.5" customHeight="1"/>
    <row r="1034651" ht="10.5" customHeight="1"/>
    <row r="1034652" ht="10.5" customHeight="1"/>
    <row r="1034653" ht="10.5" customHeight="1"/>
    <row r="1034654" ht="10.5" customHeight="1"/>
    <row r="1034655" ht="10.5" customHeight="1"/>
    <row r="1034656" ht="10.5" customHeight="1"/>
    <row r="1034657" ht="10.5" customHeight="1"/>
    <row r="1034658" ht="10.5" customHeight="1"/>
    <row r="1034659" ht="10.5" customHeight="1"/>
    <row r="1034660" ht="10.5" customHeight="1"/>
    <row r="1034661" ht="10.5" customHeight="1"/>
    <row r="1034662" ht="10.5" customHeight="1"/>
    <row r="1034663" ht="10.5" customHeight="1"/>
    <row r="1034664" ht="10.5" customHeight="1"/>
    <row r="1034665" ht="10.5" customHeight="1"/>
    <row r="1034666" ht="10.5" customHeight="1"/>
    <row r="1034667" ht="10.5" customHeight="1"/>
    <row r="1034668" ht="10.5" customHeight="1"/>
    <row r="1034669" ht="10.5" customHeight="1"/>
    <row r="1034670" ht="10.5" customHeight="1"/>
    <row r="1034671" ht="10.5" customHeight="1"/>
    <row r="1034672" ht="10.5" customHeight="1"/>
    <row r="1034673" ht="10.5" customHeight="1"/>
    <row r="1034674" ht="10.5" customHeight="1"/>
    <row r="1034675" ht="10.5" customHeight="1"/>
    <row r="1034676" ht="10.5" customHeight="1"/>
    <row r="1034677" ht="10.5" customHeight="1"/>
    <row r="1034678" ht="10.5" customHeight="1"/>
    <row r="1034679" ht="10.5" customHeight="1"/>
    <row r="1034680" ht="10.5" customHeight="1"/>
    <row r="1034681" ht="10.5" customHeight="1"/>
    <row r="1034682" ht="10.5" customHeight="1"/>
    <row r="1034683" ht="10.5" customHeight="1"/>
    <row r="1034684" ht="10.5" customHeight="1"/>
    <row r="1034685" ht="10.5" customHeight="1"/>
    <row r="1034686" ht="10.5" customHeight="1"/>
    <row r="1034687" ht="10.5" customHeight="1"/>
    <row r="1034688" ht="10.5" customHeight="1"/>
    <row r="1034689" ht="10.5" customHeight="1"/>
    <row r="1034690" ht="10.5" customHeight="1"/>
    <row r="1034691" ht="10.5" customHeight="1"/>
    <row r="1034692" ht="10.5" customHeight="1"/>
    <row r="1034693" ht="10.5" customHeight="1"/>
    <row r="1034694" ht="10.5" customHeight="1"/>
    <row r="1034695" ht="10.5" customHeight="1"/>
    <row r="1034696" ht="10.5" customHeight="1"/>
    <row r="1034697" ht="10.5" customHeight="1"/>
    <row r="1034698" ht="10.5" customHeight="1"/>
    <row r="1034699" ht="10.5" customHeight="1"/>
    <row r="1034700" ht="10.5" customHeight="1"/>
    <row r="1034701" ht="10.5" customHeight="1"/>
    <row r="1034702" ht="10.5" customHeight="1"/>
    <row r="1034703" ht="10.5" customHeight="1"/>
    <row r="1034704" ht="10.5" customHeight="1"/>
    <row r="1034705" ht="10.5" customHeight="1"/>
    <row r="1034706" ht="10.5" customHeight="1"/>
    <row r="1034707" ht="10.5" customHeight="1"/>
    <row r="1034708" ht="10.5" customHeight="1"/>
    <row r="1034709" ht="10.5" customHeight="1"/>
    <row r="1034710" ht="10.5" customHeight="1"/>
    <row r="1034711" ht="10.5" customHeight="1"/>
    <row r="1034712" ht="10.5" customHeight="1"/>
    <row r="1034713" ht="10.5" customHeight="1"/>
    <row r="1034714" ht="10.5" customHeight="1"/>
    <row r="1034715" ht="10.5" customHeight="1"/>
    <row r="1034716" ht="10.5" customHeight="1"/>
    <row r="1034717" ht="10.5" customHeight="1"/>
    <row r="1034718" ht="10.5" customHeight="1"/>
    <row r="1034719" ht="10.5" customHeight="1"/>
    <row r="1034720" ht="10.5" customHeight="1"/>
    <row r="1034721" ht="10.5" customHeight="1"/>
    <row r="1034722" ht="10.5" customHeight="1"/>
    <row r="1034723" ht="10.5" customHeight="1"/>
    <row r="1034724" ht="10.5" customHeight="1"/>
    <row r="1034725" ht="10.5" customHeight="1"/>
    <row r="1034726" ht="10.5" customHeight="1"/>
    <row r="1034727" ht="10.5" customHeight="1"/>
    <row r="1034728" ht="10.5" customHeight="1"/>
    <row r="1034729" ht="10.5" customHeight="1"/>
    <row r="1034730" ht="10.5" customHeight="1"/>
    <row r="1034731" ht="10.5" customHeight="1"/>
    <row r="1034732" ht="10.5" customHeight="1"/>
    <row r="1034733" ht="10.5" customHeight="1"/>
    <row r="1034734" ht="10.5" customHeight="1"/>
    <row r="1034735" ht="10.5" customHeight="1"/>
    <row r="1034736" ht="10.5" customHeight="1"/>
    <row r="1034737" ht="10.5" customHeight="1"/>
    <row r="1034738" ht="10.5" customHeight="1"/>
    <row r="1034739" ht="10.5" customHeight="1"/>
    <row r="1034740" ht="10.5" customHeight="1"/>
    <row r="1034741" ht="10.5" customHeight="1"/>
    <row r="1034742" ht="10.5" customHeight="1"/>
    <row r="1034743" ht="10.5" customHeight="1"/>
    <row r="1034744" ht="10.5" customHeight="1"/>
    <row r="1034745" ht="10.5" customHeight="1"/>
    <row r="1034746" ht="10.5" customHeight="1"/>
    <row r="1034747" ht="10.5" customHeight="1"/>
    <row r="1034748" ht="10.5" customHeight="1"/>
    <row r="1034749" ht="10.5" customHeight="1"/>
    <row r="1034750" ht="10.5" customHeight="1"/>
    <row r="1034751" ht="10.5" customHeight="1"/>
    <row r="1034752" ht="10.5" customHeight="1"/>
    <row r="1034753" ht="10.5" customHeight="1"/>
    <row r="1034754" ht="10.5" customHeight="1"/>
    <row r="1034755" ht="10.5" customHeight="1"/>
    <row r="1034756" ht="10.5" customHeight="1"/>
    <row r="1034757" ht="10.5" customHeight="1"/>
    <row r="1034758" ht="10.5" customHeight="1"/>
    <row r="1034759" ht="10.5" customHeight="1"/>
    <row r="1034760" ht="10.5" customHeight="1"/>
    <row r="1034761" ht="10.5" customHeight="1"/>
    <row r="1034762" ht="10.5" customHeight="1"/>
    <row r="1034763" ht="10.5" customHeight="1"/>
    <row r="1034764" ht="10.5" customHeight="1"/>
    <row r="1034765" ht="10.5" customHeight="1"/>
    <row r="1034766" ht="10.5" customHeight="1"/>
    <row r="1034767" ht="10.5" customHeight="1"/>
    <row r="1034768" ht="10.5" customHeight="1"/>
    <row r="1034769" ht="10.5" customHeight="1"/>
    <row r="1034770" ht="10.5" customHeight="1"/>
    <row r="1034771" ht="10.5" customHeight="1"/>
    <row r="1034772" ht="10.5" customHeight="1"/>
    <row r="1034773" ht="10.5" customHeight="1"/>
    <row r="1034774" ht="10.5" customHeight="1"/>
    <row r="1034775" ht="10.5" customHeight="1"/>
    <row r="1034776" ht="10.5" customHeight="1"/>
    <row r="1034777" ht="10.5" customHeight="1"/>
    <row r="1034778" ht="10.5" customHeight="1"/>
    <row r="1034779" ht="10.5" customHeight="1"/>
    <row r="1034780" ht="10.5" customHeight="1"/>
    <row r="1034781" ht="10.5" customHeight="1"/>
    <row r="1034782" ht="10.5" customHeight="1"/>
    <row r="1034783" ht="10.5" customHeight="1"/>
    <row r="1034784" ht="10.5" customHeight="1"/>
    <row r="1034785" ht="10.5" customHeight="1"/>
    <row r="1034786" ht="10.5" customHeight="1"/>
    <row r="1034787" ht="10.5" customHeight="1"/>
    <row r="1034788" ht="10.5" customHeight="1"/>
    <row r="1034789" ht="10.5" customHeight="1"/>
    <row r="1034790" ht="10.5" customHeight="1"/>
    <row r="1034791" ht="10.5" customHeight="1"/>
    <row r="1034792" ht="10.5" customHeight="1"/>
    <row r="1034793" ht="10.5" customHeight="1"/>
    <row r="1034794" ht="10.5" customHeight="1"/>
    <row r="1034795" ht="10.5" customHeight="1"/>
    <row r="1034796" ht="10.5" customHeight="1"/>
    <row r="1034797" ht="10.5" customHeight="1"/>
    <row r="1034798" ht="10.5" customHeight="1"/>
    <row r="1034799" ht="10.5" customHeight="1"/>
    <row r="1034800" ht="10.5" customHeight="1"/>
    <row r="1034801" ht="10.5" customHeight="1"/>
    <row r="1034802" ht="10.5" customHeight="1"/>
    <row r="1034803" ht="10.5" customHeight="1"/>
    <row r="1034804" ht="10.5" customHeight="1"/>
    <row r="1034805" ht="10.5" customHeight="1"/>
    <row r="1034806" ht="10.5" customHeight="1"/>
    <row r="1034807" ht="10.5" customHeight="1"/>
    <row r="1034808" ht="10.5" customHeight="1"/>
    <row r="1034809" ht="10.5" customHeight="1"/>
    <row r="1034810" ht="10.5" customHeight="1"/>
    <row r="1034811" ht="10.5" customHeight="1"/>
    <row r="1034812" ht="10.5" customHeight="1"/>
    <row r="1034813" ht="10.5" customHeight="1"/>
    <row r="1034814" ht="10.5" customHeight="1"/>
    <row r="1034815" ht="10.5" customHeight="1"/>
    <row r="1034816" ht="10.5" customHeight="1"/>
    <row r="1034817" ht="10.5" customHeight="1"/>
    <row r="1034818" ht="10.5" customHeight="1"/>
    <row r="1034819" ht="10.5" customHeight="1"/>
    <row r="1034820" ht="10.5" customHeight="1"/>
    <row r="1034821" ht="10.5" customHeight="1"/>
    <row r="1034822" ht="10.5" customHeight="1"/>
    <row r="1034823" ht="10.5" customHeight="1"/>
    <row r="1034824" ht="10.5" customHeight="1"/>
    <row r="1034825" ht="10.5" customHeight="1"/>
    <row r="1034826" ht="10.5" customHeight="1"/>
    <row r="1034827" ht="10.5" customHeight="1"/>
    <row r="1034828" ht="10.5" customHeight="1"/>
    <row r="1034829" ht="10.5" customHeight="1"/>
    <row r="1034830" ht="10.5" customHeight="1"/>
    <row r="1034831" ht="10.5" customHeight="1"/>
    <row r="1034832" ht="10.5" customHeight="1"/>
    <row r="1034833" ht="10.5" customHeight="1"/>
    <row r="1034834" ht="10.5" customHeight="1"/>
    <row r="1034835" ht="10.5" customHeight="1"/>
    <row r="1034836" ht="10.5" customHeight="1"/>
    <row r="1034837" ht="10.5" customHeight="1"/>
    <row r="1034838" ht="10.5" customHeight="1"/>
    <row r="1034839" ht="10.5" customHeight="1"/>
    <row r="1034840" ht="10.5" customHeight="1"/>
    <row r="1034841" ht="10.5" customHeight="1"/>
    <row r="1034842" ht="10.5" customHeight="1"/>
    <row r="1034843" ht="10.5" customHeight="1"/>
    <row r="1034844" ht="10.5" customHeight="1"/>
    <row r="1034845" ht="10.5" customHeight="1"/>
    <row r="1034846" ht="10.5" customHeight="1"/>
    <row r="1034847" ht="10.5" customHeight="1"/>
    <row r="1034848" ht="10.5" customHeight="1"/>
    <row r="1034849" ht="10.5" customHeight="1"/>
    <row r="1034850" ht="10.5" customHeight="1"/>
    <row r="1034851" ht="10.5" customHeight="1"/>
    <row r="1034852" ht="10.5" customHeight="1"/>
    <row r="1034853" ht="10.5" customHeight="1"/>
    <row r="1034854" ht="10.5" customHeight="1"/>
    <row r="1034855" ht="10.5" customHeight="1"/>
    <row r="1034856" ht="10.5" customHeight="1"/>
    <row r="1034857" ht="10.5" customHeight="1"/>
    <row r="1034858" ht="10.5" customHeight="1"/>
    <row r="1034859" ht="10.5" customHeight="1"/>
    <row r="1034860" ht="10.5" customHeight="1"/>
    <row r="1034861" ht="10.5" customHeight="1"/>
    <row r="1034862" ht="10.5" customHeight="1"/>
    <row r="1034863" ht="10.5" customHeight="1"/>
    <row r="1034864" ht="10.5" customHeight="1"/>
    <row r="1034865" ht="10.5" customHeight="1"/>
    <row r="1034866" ht="10.5" customHeight="1"/>
    <row r="1034867" ht="10.5" customHeight="1"/>
    <row r="1034868" ht="10.5" customHeight="1"/>
    <row r="1034869" ht="10.5" customHeight="1"/>
    <row r="1034870" ht="10.5" customHeight="1"/>
    <row r="1034871" ht="10.5" customHeight="1"/>
    <row r="1034872" ht="10.5" customHeight="1"/>
    <row r="1034873" ht="10.5" customHeight="1"/>
    <row r="1034874" ht="10.5" customHeight="1"/>
    <row r="1034875" ht="10.5" customHeight="1"/>
    <row r="1034876" ht="10.5" customHeight="1"/>
    <row r="1034877" ht="10.5" customHeight="1"/>
    <row r="1034878" ht="10.5" customHeight="1"/>
    <row r="1034879" ht="10.5" customHeight="1"/>
    <row r="1034880" ht="10.5" customHeight="1"/>
    <row r="1034881" ht="10.5" customHeight="1"/>
    <row r="1034882" ht="10.5" customHeight="1"/>
    <row r="1034883" ht="10.5" customHeight="1"/>
    <row r="1034884" ht="10.5" customHeight="1"/>
    <row r="1034885" ht="10.5" customHeight="1"/>
    <row r="1034886" ht="10.5" customHeight="1"/>
    <row r="1034887" ht="10.5" customHeight="1"/>
    <row r="1034888" ht="10.5" customHeight="1"/>
    <row r="1034889" ht="10.5" customHeight="1"/>
    <row r="1034890" ht="10.5" customHeight="1"/>
    <row r="1034891" ht="10.5" customHeight="1"/>
    <row r="1034892" ht="10.5" customHeight="1"/>
    <row r="1034893" ht="10.5" customHeight="1"/>
    <row r="1034894" ht="10.5" customHeight="1"/>
    <row r="1034895" ht="10.5" customHeight="1"/>
    <row r="1034896" ht="10.5" customHeight="1"/>
    <row r="1034897" ht="10.5" customHeight="1"/>
    <row r="1034898" ht="10.5" customHeight="1"/>
    <row r="1034899" ht="10.5" customHeight="1"/>
    <row r="1034900" ht="10.5" customHeight="1"/>
    <row r="1034901" ht="10.5" customHeight="1"/>
    <row r="1034902" ht="10.5" customHeight="1"/>
    <row r="1034903" ht="10.5" customHeight="1"/>
    <row r="1034904" ht="10.5" customHeight="1"/>
    <row r="1034905" ht="10.5" customHeight="1"/>
    <row r="1034906" ht="10.5" customHeight="1"/>
    <row r="1034907" ht="10.5" customHeight="1"/>
    <row r="1034908" ht="10.5" customHeight="1"/>
    <row r="1034909" ht="10.5" customHeight="1"/>
    <row r="1034910" ht="10.5" customHeight="1"/>
    <row r="1034911" ht="10.5" customHeight="1"/>
    <row r="1034912" ht="10.5" customHeight="1"/>
    <row r="1034913" ht="10.5" customHeight="1"/>
    <row r="1034914" ht="10.5" customHeight="1"/>
    <row r="1034915" ht="10.5" customHeight="1"/>
    <row r="1034916" ht="10.5" customHeight="1"/>
    <row r="1034917" ht="10.5" customHeight="1"/>
    <row r="1034918" ht="10.5" customHeight="1"/>
    <row r="1034919" ht="10.5" customHeight="1"/>
    <row r="1034920" ht="10.5" customHeight="1"/>
    <row r="1034921" ht="10.5" customHeight="1"/>
    <row r="1034922" ht="10.5" customHeight="1"/>
    <row r="1034923" ht="10.5" customHeight="1"/>
    <row r="1034924" ht="10.5" customHeight="1"/>
    <row r="1034925" ht="10.5" customHeight="1"/>
    <row r="1034926" ht="10.5" customHeight="1"/>
    <row r="1034927" ht="10.5" customHeight="1"/>
    <row r="1034928" ht="10.5" customHeight="1"/>
    <row r="1034929" ht="10.5" customHeight="1"/>
    <row r="1034930" ht="10.5" customHeight="1"/>
    <row r="1034931" ht="10.5" customHeight="1"/>
    <row r="1034932" ht="10.5" customHeight="1"/>
    <row r="1034933" ht="10.5" customHeight="1"/>
    <row r="1034934" ht="10.5" customHeight="1"/>
    <row r="1034935" ht="10.5" customHeight="1"/>
    <row r="1034936" ht="10.5" customHeight="1"/>
    <row r="1034937" ht="10.5" customHeight="1"/>
    <row r="1034938" ht="10.5" customHeight="1"/>
    <row r="1034939" ht="10.5" customHeight="1"/>
    <row r="1034940" ht="10.5" customHeight="1"/>
    <row r="1034941" ht="10.5" customHeight="1"/>
    <row r="1034942" ht="10.5" customHeight="1"/>
    <row r="1034943" ht="10.5" customHeight="1"/>
    <row r="1034944" ht="10.5" customHeight="1"/>
    <row r="1034945" ht="10.5" customHeight="1"/>
    <row r="1034946" ht="10.5" customHeight="1"/>
    <row r="1034947" ht="10.5" customHeight="1"/>
    <row r="1034948" ht="10.5" customHeight="1"/>
    <row r="1034949" ht="10.5" customHeight="1"/>
    <row r="1034950" ht="10.5" customHeight="1"/>
    <row r="1034951" ht="10.5" customHeight="1"/>
    <row r="1034952" ht="10.5" customHeight="1"/>
    <row r="1034953" ht="10.5" customHeight="1"/>
    <row r="1034954" ht="10.5" customHeight="1"/>
    <row r="1034955" ht="10.5" customHeight="1"/>
    <row r="1034956" ht="10.5" customHeight="1"/>
    <row r="1034957" ht="10.5" customHeight="1"/>
    <row r="1034958" ht="10.5" customHeight="1"/>
    <row r="1034959" ht="10.5" customHeight="1"/>
    <row r="1034960" ht="10.5" customHeight="1"/>
    <row r="1034961" ht="10.5" customHeight="1"/>
    <row r="1034962" ht="10.5" customHeight="1"/>
    <row r="1034963" ht="10.5" customHeight="1"/>
    <row r="1034964" ht="10.5" customHeight="1"/>
    <row r="1034965" ht="10.5" customHeight="1"/>
    <row r="1034966" ht="10.5" customHeight="1"/>
    <row r="1034967" ht="10.5" customHeight="1"/>
    <row r="1034968" ht="10.5" customHeight="1"/>
    <row r="1034969" ht="10.5" customHeight="1"/>
    <row r="1034970" ht="10.5" customHeight="1"/>
    <row r="1034971" ht="10.5" customHeight="1"/>
    <row r="1034972" ht="10.5" customHeight="1"/>
    <row r="1034973" ht="10.5" customHeight="1"/>
    <row r="1034974" ht="10.5" customHeight="1"/>
    <row r="1034975" ht="10.5" customHeight="1"/>
    <row r="1034976" ht="10.5" customHeight="1"/>
    <row r="1034977" ht="10.5" customHeight="1"/>
    <row r="1034978" ht="10.5" customHeight="1"/>
    <row r="1034979" ht="10.5" customHeight="1"/>
    <row r="1034980" ht="10.5" customHeight="1"/>
    <row r="1034981" ht="10.5" customHeight="1"/>
    <row r="1034982" ht="10.5" customHeight="1"/>
    <row r="1034983" ht="10.5" customHeight="1"/>
    <row r="1034984" ht="10.5" customHeight="1"/>
    <row r="1034985" ht="10.5" customHeight="1"/>
    <row r="1034986" ht="10.5" customHeight="1"/>
    <row r="1034987" ht="10.5" customHeight="1"/>
    <row r="1034988" ht="10.5" customHeight="1"/>
    <row r="1034989" ht="10.5" customHeight="1"/>
    <row r="1034990" ht="10.5" customHeight="1"/>
    <row r="1034991" ht="10.5" customHeight="1"/>
    <row r="1034992" ht="10.5" customHeight="1"/>
    <row r="1034993" ht="10.5" customHeight="1"/>
    <row r="1034994" ht="10.5" customHeight="1"/>
    <row r="1034995" ht="10.5" customHeight="1"/>
    <row r="1034996" ht="10.5" customHeight="1"/>
    <row r="1034997" ht="10.5" customHeight="1"/>
    <row r="1034998" ht="10.5" customHeight="1"/>
    <row r="1034999" ht="10.5" customHeight="1"/>
    <row r="1035000" ht="10.5" customHeight="1"/>
    <row r="1035001" ht="10.5" customHeight="1"/>
    <row r="1035002" ht="10.5" customHeight="1"/>
    <row r="1035003" ht="10.5" customHeight="1"/>
    <row r="1035004" ht="10.5" customHeight="1"/>
    <row r="1035005" ht="10.5" customHeight="1"/>
    <row r="1035006" ht="10.5" customHeight="1"/>
    <row r="1035007" ht="10.5" customHeight="1"/>
    <row r="1035008" ht="10.5" customHeight="1"/>
    <row r="1035009" ht="10.5" customHeight="1"/>
    <row r="1035010" ht="10.5" customHeight="1"/>
    <row r="1035011" ht="10.5" customHeight="1"/>
    <row r="1035012" ht="10.5" customHeight="1"/>
    <row r="1035013" ht="10.5" customHeight="1"/>
    <row r="1035014" ht="10.5" customHeight="1"/>
    <row r="1035015" ht="10.5" customHeight="1"/>
    <row r="1035016" ht="10.5" customHeight="1"/>
    <row r="1035017" ht="10.5" customHeight="1"/>
    <row r="1035018" ht="10.5" customHeight="1"/>
    <row r="1035019" ht="10.5" customHeight="1"/>
    <row r="1035020" ht="10.5" customHeight="1"/>
    <row r="1035021" ht="10.5" customHeight="1"/>
    <row r="1035022" ht="10.5" customHeight="1"/>
    <row r="1035023" ht="10.5" customHeight="1"/>
    <row r="1035024" ht="10.5" customHeight="1"/>
    <row r="1035025" ht="10.5" customHeight="1"/>
    <row r="1035026" ht="10.5" customHeight="1"/>
    <row r="1035027" ht="10.5" customHeight="1"/>
    <row r="1035028" ht="10.5" customHeight="1"/>
    <row r="1035029" ht="10.5" customHeight="1"/>
    <row r="1035030" ht="10.5" customHeight="1"/>
    <row r="1035031" ht="10.5" customHeight="1"/>
    <row r="1035032" ht="10.5" customHeight="1"/>
    <row r="1035033" ht="10.5" customHeight="1"/>
    <row r="1035034" ht="10.5" customHeight="1"/>
    <row r="1035035" ht="10.5" customHeight="1"/>
    <row r="1035036" ht="10.5" customHeight="1"/>
    <row r="1035037" ht="10.5" customHeight="1"/>
    <row r="1035038" ht="10.5" customHeight="1"/>
    <row r="1035039" ht="10.5" customHeight="1"/>
    <row r="1035040" ht="10.5" customHeight="1"/>
    <row r="1035041" ht="10.5" customHeight="1"/>
    <row r="1035042" ht="10.5" customHeight="1"/>
    <row r="1035043" ht="10.5" customHeight="1"/>
    <row r="1035044" ht="10.5" customHeight="1"/>
    <row r="1035045" ht="10.5" customHeight="1"/>
    <row r="1035046" ht="10.5" customHeight="1"/>
    <row r="1035047" ht="10.5" customHeight="1"/>
    <row r="1035048" ht="10.5" customHeight="1"/>
    <row r="1035049" ht="10.5" customHeight="1"/>
    <row r="1035050" ht="10.5" customHeight="1"/>
    <row r="1035051" ht="10.5" customHeight="1"/>
    <row r="1035052" ht="10.5" customHeight="1"/>
    <row r="1035053" ht="10.5" customHeight="1"/>
    <row r="1035054" ht="10.5" customHeight="1"/>
    <row r="1035055" ht="10.5" customHeight="1"/>
    <row r="1035056" ht="10.5" customHeight="1"/>
    <row r="1035057" ht="10.5" customHeight="1"/>
    <row r="1035058" ht="10.5" customHeight="1"/>
    <row r="1035059" ht="10.5" customHeight="1"/>
    <row r="1035060" ht="10.5" customHeight="1"/>
    <row r="1035061" ht="10.5" customHeight="1"/>
    <row r="1035062" ht="10.5" customHeight="1"/>
    <row r="1035063" ht="10.5" customHeight="1"/>
    <row r="1035064" ht="10.5" customHeight="1"/>
    <row r="1035065" ht="10.5" customHeight="1"/>
    <row r="1035066" ht="10.5" customHeight="1"/>
    <row r="1035067" ht="10.5" customHeight="1"/>
    <row r="1035068" ht="10.5" customHeight="1"/>
    <row r="1035069" ht="10.5" customHeight="1"/>
    <row r="1035070" ht="10.5" customHeight="1"/>
    <row r="1035071" ht="10.5" customHeight="1"/>
    <row r="1035072" ht="10.5" customHeight="1"/>
    <row r="1035073" ht="10.5" customHeight="1"/>
    <row r="1035074" ht="10.5" customHeight="1"/>
    <row r="1035075" ht="10.5" customHeight="1"/>
    <row r="1035076" ht="10.5" customHeight="1"/>
    <row r="1035077" ht="10.5" customHeight="1"/>
    <row r="1035078" ht="10.5" customHeight="1"/>
    <row r="1035079" ht="10.5" customHeight="1"/>
    <row r="1035080" ht="10.5" customHeight="1"/>
    <row r="1035081" ht="10.5" customHeight="1"/>
    <row r="1035082" ht="10.5" customHeight="1"/>
    <row r="1035083" ht="10.5" customHeight="1"/>
    <row r="1035084" ht="10.5" customHeight="1"/>
    <row r="1035085" ht="10.5" customHeight="1"/>
    <row r="1035086" ht="10.5" customHeight="1"/>
    <row r="1035087" ht="10.5" customHeight="1"/>
    <row r="1035088" ht="10.5" customHeight="1"/>
    <row r="1035089" ht="10.5" customHeight="1"/>
    <row r="1035090" ht="10.5" customHeight="1"/>
    <row r="1035091" ht="10.5" customHeight="1"/>
    <row r="1035092" ht="10.5" customHeight="1"/>
    <row r="1035093" ht="10.5" customHeight="1"/>
    <row r="1035094" ht="10.5" customHeight="1"/>
    <row r="1035095" ht="10.5" customHeight="1"/>
    <row r="1035096" ht="10.5" customHeight="1"/>
    <row r="1035097" ht="10.5" customHeight="1"/>
    <row r="1035098" ht="10.5" customHeight="1"/>
    <row r="1035099" ht="10.5" customHeight="1"/>
    <row r="1035100" ht="10.5" customHeight="1"/>
    <row r="1035101" ht="10.5" customHeight="1"/>
    <row r="1035102" ht="10.5" customHeight="1"/>
    <row r="1035103" ht="10.5" customHeight="1"/>
    <row r="1035104" ht="10.5" customHeight="1"/>
    <row r="1035105" ht="10.5" customHeight="1"/>
    <row r="1035106" ht="10.5" customHeight="1"/>
    <row r="1035107" ht="10.5" customHeight="1"/>
    <row r="1035108" ht="10.5" customHeight="1"/>
    <row r="1035109" ht="10.5" customHeight="1"/>
    <row r="1035110" ht="10.5" customHeight="1"/>
    <row r="1035111" ht="10.5" customHeight="1"/>
    <row r="1035112" ht="10.5" customHeight="1"/>
    <row r="1035113" ht="10.5" customHeight="1"/>
    <row r="1035114" ht="10.5" customHeight="1"/>
    <row r="1035115" ht="10.5" customHeight="1"/>
    <row r="1035116" ht="10.5" customHeight="1"/>
    <row r="1035117" ht="10.5" customHeight="1"/>
    <row r="1035118" ht="10.5" customHeight="1"/>
    <row r="1035119" ht="10.5" customHeight="1"/>
    <row r="1035120" ht="10.5" customHeight="1"/>
    <row r="1035121" ht="10.5" customHeight="1"/>
    <row r="1035122" ht="10.5" customHeight="1"/>
    <row r="1035123" ht="10.5" customHeight="1"/>
    <row r="1035124" ht="10.5" customHeight="1"/>
    <row r="1035125" ht="10.5" customHeight="1"/>
    <row r="1035126" ht="10.5" customHeight="1"/>
    <row r="1035127" ht="10.5" customHeight="1"/>
    <row r="1035128" ht="10.5" customHeight="1"/>
    <row r="1035129" ht="10.5" customHeight="1"/>
    <row r="1035130" ht="10.5" customHeight="1"/>
    <row r="1035131" ht="10.5" customHeight="1"/>
    <row r="1035132" ht="10.5" customHeight="1"/>
    <row r="1035133" ht="10.5" customHeight="1"/>
    <row r="1035134" ht="10.5" customHeight="1"/>
    <row r="1035135" ht="10.5" customHeight="1"/>
    <row r="1035136" ht="10.5" customHeight="1"/>
    <row r="1035137" ht="10.5" customHeight="1"/>
    <row r="1035138" ht="10.5" customHeight="1"/>
    <row r="1035139" ht="10.5" customHeight="1"/>
    <row r="1035140" ht="10.5" customHeight="1"/>
    <row r="1035141" ht="10.5" customHeight="1"/>
    <row r="1035142" ht="10.5" customHeight="1"/>
    <row r="1035143" ht="10.5" customHeight="1"/>
    <row r="1035144" ht="10.5" customHeight="1"/>
    <row r="1035145" ht="10.5" customHeight="1"/>
    <row r="1035146" ht="10.5" customHeight="1"/>
    <row r="1035147" ht="10.5" customHeight="1"/>
    <row r="1035148" ht="10.5" customHeight="1"/>
    <row r="1035149" ht="10.5" customHeight="1"/>
    <row r="1035150" ht="10.5" customHeight="1"/>
    <row r="1035151" ht="10.5" customHeight="1"/>
    <row r="1035152" ht="10.5" customHeight="1"/>
    <row r="1035153" ht="10.5" customHeight="1"/>
    <row r="1035154" ht="10.5" customHeight="1"/>
    <row r="1035155" ht="10.5" customHeight="1"/>
    <row r="1035156" ht="10.5" customHeight="1"/>
    <row r="1035157" ht="10.5" customHeight="1"/>
    <row r="1035158" ht="10.5" customHeight="1"/>
    <row r="1035159" ht="10.5" customHeight="1"/>
    <row r="1035160" ht="10.5" customHeight="1"/>
    <row r="1035161" ht="10.5" customHeight="1"/>
    <row r="1035162" ht="10.5" customHeight="1"/>
    <row r="1035163" ht="10.5" customHeight="1"/>
    <row r="1035164" ht="10.5" customHeight="1"/>
    <row r="1035165" ht="10.5" customHeight="1"/>
    <row r="1035166" ht="10.5" customHeight="1"/>
    <row r="1035167" ht="10.5" customHeight="1"/>
    <row r="1035168" ht="10.5" customHeight="1"/>
    <row r="1035169" ht="10.5" customHeight="1"/>
    <row r="1035170" ht="10.5" customHeight="1"/>
    <row r="1035171" ht="10.5" customHeight="1"/>
    <row r="1035172" ht="10.5" customHeight="1"/>
    <row r="1035173" ht="10.5" customHeight="1"/>
    <row r="1035174" ht="10.5" customHeight="1"/>
    <row r="1035175" ht="10.5" customHeight="1"/>
    <row r="1035176" ht="10.5" customHeight="1"/>
    <row r="1035177" ht="10.5" customHeight="1"/>
    <row r="1035178" ht="10.5" customHeight="1"/>
    <row r="1035179" ht="10.5" customHeight="1"/>
    <row r="1035180" ht="10.5" customHeight="1"/>
    <row r="1035181" ht="10.5" customHeight="1"/>
    <row r="1035182" ht="10.5" customHeight="1"/>
    <row r="1035183" ht="10.5" customHeight="1"/>
    <row r="1035184" ht="10.5" customHeight="1"/>
    <row r="1035185" ht="10.5" customHeight="1"/>
    <row r="1035186" ht="10.5" customHeight="1"/>
    <row r="1035187" ht="10.5" customHeight="1"/>
    <row r="1035188" ht="10.5" customHeight="1"/>
    <row r="1035189" ht="10.5" customHeight="1"/>
    <row r="1035190" ht="10.5" customHeight="1"/>
    <row r="1035191" ht="10.5" customHeight="1"/>
    <row r="1035192" ht="10.5" customHeight="1"/>
    <row r="1035193" ht="10.5" customHeight="1"/>
    <row r="1035194" ht="10.5" customHeight="1"/>
    <row r="1035195" ht="10.5" customHeight="1"/>
    <row r="1035196" ht="10.5" customHeight="1"/>
    <row r="1035197" ht="10.5" customHeight="1"/>
    <row r="1035198" ht="10.5" customHeight="1"/>
    <row r="1035199" ht="10.5" customHeight="1"/>
    <row r="1035200" ht="10.5" customHeight="1"/>
    <row r="1035201" ht="10.5" customHeight="1"/>
    <row r="1035202" ht="10.5" customHeight="1"/>
    <row r="1035203" ht="10.5" customHeight="1"/>
    <row r="1035204" ht="10.5" customHeight="1"/>
    <row r="1035205" ht="10.5" customHeight="1"/>
    <row r="1035206" ht="10.5" customHeight="1"/>
    <row r="1035207" ht="10.5" customHeight="1"/>
    <row r="1035208" ht="10.5" customHeight="1"/>
    <row r="1035209" ht="10.5" customHeight="1"/>
    <row r="1035210" ht="10.5" customHeight="1"/>
    <row r="1035211" ht="10.5" customHeight="1"/>
    <row r="1035212" ht="10.5" customHeight="1"/>
    <row r="1035213" ht="10.5" customHeight="1"/>
    <row r="1035214" ht="10.5" customHeight="1"/>
    <row r="1035215" ht="10.5" customHeight="1"/>
    <row r="1035216" ht="10.5" customHeight="1"/>
    <row r="1035217" ht="10.5" customHeight="1"/>
    <row r="1035218" ht="10.5" customHeight="1"/>
    <row r="1035219" ht="10.5" customHeight="1"/>
    <row r="1035220" ht="10.5" customHeight="1"/>
    <row r="1035221" ht="10.5" customHeight="1"/>
    <row r="1035222" ht="10.5" customHeight="1"/>
    <row r="1035223" ht="10.5" customHeight="1"/>
    <row r="1035224" ht="10.5" customHeight="1"/>
    <row r="1035225" ht="10.5" customHeight="1"/>
    <row r="1035226" ht="10.5" customHeight="1"/>
    <row r="1035227" ht="10.5" customHeight="1"/>
    <row r="1035228" ht="10.5" customHeight="1"/>
    <row r="1035229" ht="10.5" customHeight="1"/>
    <row r="1035230" ht="10.5" customHeight="1"/>
    <row r="1035231" ht="10.5" customHeight="1"/>
    <row r="1035232" ht="10.5" customHeight="1"/>
    <row r="1035233" ht="10.5" customHeight="1"/>
    <row r="1035234" ht="10.5" customHeight="1"/>
    <row r="1035235" ht="10.5" customHeight="1"/>
    <row r="1035236" ht="10.5" customHeight="1"/>
    <row r="1035237" ht="10.5" customHeight="1"/>
    <row r="1035238" ht="10.5" customHeight="1"/>
    <row r="1035239" ht="10.5" customHeight="1"/>
    <row r="1035240" ht="10.5" customHeight="1"/>
    <row r="1035241" ht="10.5" customHeight="1"/>
    <row r="1035242" ht="10.5" customHeight="1"/>
    <row r="1035243" ht="10.5" customHeight="1"/>
    <row r="1035244" ht="10.5" customHeight="1"/>
    <row r="1035245" ht="10.5" customHeight="1"/>
    <row r="1035246" ht="10.5" customHeight="1"/>
    <row r="1035247" ht="10.5" customHeight="1"/>
    <row r="1035248" ht="10.5" customHeight="1"/>
    <row r="1035249" ht="10.5" customHeight="1"/>
    <row r="1035250" ht="10.5" customHeight="1"/>
    <row r="1035251" ht="10.5" customHeight="1"/>
    <row r="1035252" ht="10.5" customHeight="1"/>
    <row r="1035253" ht="10.5" customHeight="1"/>
    <row r="1035254" ht="10.5" customHeight="1"/>
    <row r="1035255" ht="10.5" customHeight="1"/>
    <row r="1035256" ht="10.5" customHeight="1"/>
    <row r="1035257" ht="10.5" customHeight="1"/>
    <row r="1035258" ht="10.5" customHeight="1"/>
    <row r="1035259" ht="10.5" customHeight="1"/>
    <row r="1035260" ht="10.5" customHeight="1"/>
    <row r="1035261" ht="10.5" customHeight="1"/>
    <row r="1035262" ht="10.5" customHeight="1"/>
    <row r="1035263" ht="10.5" customHeight="1"/>
    <row r="1035264" ht="10.5" customHeight="1"/>
    <row r="1035265" ht="10.5" customHeight="1"/>
    <row r="1035266" ht="10.5" customHeight="1"/>
    <row r="1035267" ht="10.5" customHeight="1"/>
    <row r="1035268" ht="10.5" customHeight="1"/>
    <row r="1035269" ht="10.5" customHeight="1"/>
    <row r="1035270" ht="10.5" customHeight="1"/>
    <row r="1035271" ht="10.5" customHeight="1"/>
    <row r="1035272" ht="10.5" customHeight="1"/>
    <row r="1035273" ht="10.5" customHeight="1"/>
    <row r="1035274" ht="10.5" customHeight="1"/>
    <row r="1035275" ht="10.5" customHeight="1"/>
    <row r="1035276" ht="10.5" customHeight="1"/>
    <row r="1035277" ht="10.5" customHeight="1"/>
    <row r="1035278" ht="10.5" customHeight="1"/>
    <row r="1035279" ht="10.5" customHeight="1"/>
    <row r="1035280" ht="10.5" customHeight="1"/>
    <row r="1035281" ht="10.5" customHeight="1"/>
    <row r="1035282" ht="10.5" customHeight="1"/>
    <row r="1035283" ht="10.5" customHeight="1"/>
    <row r="1035284" ht="10.5" customHeight="1"/>
    <row r="1035285" ht="10.5" customHeight="1"/>
    <row r="1035286" ht="10.5" customHeight="1"/>
    <row r="1035287" ht="10.5" customHeight="1"/>
    <row r="1035288" ht="10.5" customHeight="1"/>
    <row r="1035289" ht="10.5" customHeight="1"/>
    <row r="1035290" ht="10.5" customHeight="1"/>
    <row r="1035291" ht="10.5" customHeight="1"/>
    <row r="1035292" ht="10.5" customHeight="1"/>
    <row r="1035293" ht="10.5" customHeight="1"/>
    <row r="1035294" ht="10.5" customHeight="1"/>
    <row r="1035295" ht="10.5" customHeight="1"/>
    <row r="1035296" ht="10.5" customHeight="1"/>
    <row r="1035297" ht="10.5" customHeight="1"/>
    <row r="1035298" ht="10.5" customHeight="1"/>
    <row r="1035299" ht="10.5" customHeight="1"/>
    <row r="1035300" ht="10.5" customHeight="1"/>
    <row r="1035301" ht="10.5" customHeight="1"/>
    <row r="1035302" ht="10.5" customHeight="1"/>
    <row r="1035303" ht="10.5" customHeight="1"/>
    <row r="1035304" ht="10.5" customHeight="1"/>
    <row r="1035305" ht="10.5" customHeight="1"/>
    <row r="1035306" ht="10.5" customHeight="1"/>
    <row r="1035307" ht="10.5" customHeight="1"/>
    <row r="1035308" ht="10.5" customHeight="1"/>
    <row r="1035309" ht="10.5" customHeight="1"/>
    <row r="1035310" ht="10.5" customHeight="1"/>
    <row r="1035311" ht="10.5" customHeight="1"/>
    <row r="1035312" ht="10.5" customHeight="1"/>
    <row r="1035313" ht="10.5" customHeight="1"/>
    <row r="1035314" ht="10.5" customHeight="1"/>
    <row r="1035315" ht="10.5" customHeight="1"/>
    <row r="1035316" ht="10.5" customHeight="1"/>
    <row r="1035317" ht="10.5" customHeight="1"/>
    <row r="1035318" ht="10.5" customHeight="1"/>
    <row r="1035319" ht="10.5" customHeight="1"/>
    <row r="1035320" ht="10.5" customHeight="1"/>
    <row r="1035321" ht="10.5" customHeight="1"/>
    <row r="1035322" ht="10.5" customHeight="1"/>
    <row r="1035323" ht="10.5" customHeight="1"/>
    <row r="1035324" ht="10.5" customHeight="1"/>
    <row r="1035325" ht="10.5" customHeight="1"/>
    <row r="1035326" ht="10.5" customHeight="1"/>
    <row r="1035327" ht="10.5" customHeight="1"/>
    <row r="1035328" ht="10.5" customHeight="1"/>
    <row r="1035329" ht="10.5" customHeight="1"/>
    <row r="1035330" ht="10.5" customHeight="1"/>
    <row r="1035331" ht="10.5" customHeight="1"/>
    <row r="1035332" ht="10.5" customHeight="1"/>
    <row r="1035333" ht="10.5" customHeight="1"/>
    <row r="1035334" ht="10.5" customHeight="1"/>
    <row r="1035335" ht="10.5" customHeight="1"/>
    <row r="1035336" ht="10.5" customHeight="1"/>
    <row r="1035337" ht="10.5" customHeight="1"/>
    <row r="1035338" ht="10.5" customHeight="1"/>
    <row r="1035339" ht="10.5" customHeight="1"/>
    <row r="1035340" ht="10.5" customHeight="1"/>
    <row r="1035341" ht="10.5" customHeight="1"/>
    <row r="1035342" ht="10.5" customHeight="1"/>
    <row r="1035343" ht="10.5" customHeight="1"/>
    <row r="1035344" ht="10.5" customHeight="1"/>
    <row r="1035345" ht="10.5" customHeight="1"/>
    <row r="1035346" ht="10.5" customHeight="1"/>
    <row r="1035347" ht="10.5" customHeight="1"/>
    <row r="1035348" ht="10.5" customHeight="1"/>
    <row r="1035349" ht="10.5" customHeight="1"/>
    <row r="1035350" ht="10.5" customHeight="1"/>
    <row r="1035351" ht="10.5" customHeight="1"/>
    <row r="1035352" ht="10.5" customHeight="1"/>
    <row r="1035353" ht="10.5" customHeight="1"/>
    <row r="1035354" ht="10.5" customHeight="1"/>
    <row r="1035355" ht="10.5" customHeight="1"/>
    <row r="1035356" ht="10.5" customHeight="1"/>
    <row r="1035357" ht="10.5" customHeight="1"/>
    <row r="1035358" ht="10.5" customHeight="1"/>
    <row r="1035359" ht="10.5" customHeight="1"/>
    <row r="1035360" ht="10.5" customHeight="1"/>
    <row r="1035361" ht="10.5" customHeight="1"/>
    <row r="1035362" ht="10.5" customHeight="1"/>
    <row r="1035363" ht="10.5" customHeight="1"/>
    <row r="1035364" ht="10.5" customHeight="1"/>
    <row r="1035365" ht="10.5" customHeight="1"/>
    <row r="1035366" ht="10.5" customHeight="1"/>
    <row r="1035367" ht="10.5" customHeight="1"/>
    <row r="1035368" ht="10.5" customHeight="1"/>
    <row r="1035369" ht="10.5" customHeight="1"/>
    <row r="1035370" ht="10.5" customHeight="1"/>
    <row r="1035371" ht="10.5" customHeight="1"/>
    <row r="1035372" ht="10.5" customHeight="1"/>
    <row r="1035373" ht="10.5" customHeight="1"/>
    <row r="1035374" ht="10.5" customHeight="1"/>
    <row r="1035375" ht="10.5" customHeight="1"/>
    <row r="1035376" ht="10.5" customHeight="1"/>
    <row r="1035377" ht="10.5" customHeight="1"/>
    <row r="1035378" ht="10.5" customHeight="1"/>
    <row r="1035379" ht="10.5" customHeight="1"/>
    <row r="1035380" ht="10.5" customHeight="1"/>
    <row r="1035381" ht="10.5" customHeight="1"/>
    <row r="1035382" ht="10.5" customHeight="1"/>
    <row r="1035383" ht="10.5" customHeight="1"/>
    <row r="1035384" ht="10.5" customHeight="1"/>
    <row r="1035385" ht="10.5" customHeight="1"/>
    <row r="1035386" ht="10.5" customHeight="1"/>
    <row r="1035387" ht="10.5" customHeight="1"/>
    <row r="1035388" ht="10.5" customHeight="1"/>
    <row r="1035389" ht="10.5" customHeight="1"/>
    <row r="1035390" ht="10.5" customHeight="1"/>
    <row r="1035391" ht="10.5" customHeight="1"/>
    <row r="1035392" ht="10.5" customHeight="1"/>
    <row r="1035393" ht="10.5" customHeight="1"/>
    <row r="1035394" ht="10.5" customHeight="1"/>
    <row r="1035395" ht="10.5" customHeight="1"/>
    <row r="1035396" ht="10.5" customHeight="1"/>
    <row r="1035397" ht="10.5" customHeight="1"/>
    <row r="1035398" ht="10.5" customHeight="1"/>
    <row r="1035399" ht="10.5" customHeight="1"/>
    <row r="1035400" ht="10.5" customHeight="1"/>
    <row r="1035401" ht="10.5" customHeight="1"/>
    <row r="1035402" ht="10.5" customHeight="1"/>
    <row r="1035403" ht="10.5" customHeight="1"/>
    <row r="1035404" ht="10.5" customHeight="1"/>
    <row r="1035405" ht="10.5" customHeight="1"/>
    <row r="1035406" ht="10.5" customHeight="1"/>
    <row r="1035407" ht="10.5" customHeight="1"/>
    <row r="1035408" ht="10.5" customHeight="1"/>
    <row r="1035409" ht="10.5" customHeight="1"/>
    <row r="1035410" ht="10.5" customHeight="1"/>
    <row r="1035411" ht="10.5" customHeight="1"/>
    <row r="1035412" ht="10.5" customHeight="1"/>
    <row r="1035413" ht="10.5" customHeight="1"/>
    <row r="1035414" ht="10.5" customHeight="1"/>
    <row r="1035415" ht="10.5" customHeight="1"/>
    <row r="1035416" ht="10.5" customHeight="1"/>
    <row r="1035417" ht="10.5" customHeight="1"/>
    <row r="1035418" ht="10.5" customHeight="1"/>
    <row r="1035419" ht="10.5" customHeight="1"/>
    <row r="1035420" ht="10.5" customHeight="1"/>
    <row r="1035421" ht="10.5" customHeight="1"/>
    <row r="1035422" ht="10.5" customHeight="1"/>
    <row r="1035423" ht="10.5" customHeight="1"/>
    <row r="1035424" ht="10.5" customHeight="1"/>
    <row r="1035425" ht="10.5" customHeight="1"/>
    <row r="1035426" ht="10.5" customHeight="1"/>
    <row r="1035427" ht="10.5" customHeight="1"/>
    <row r="1035428" ht="10.5" customHeight="1"/>
    <row r="1035429" ht="10.5" customHeight="1"/>
    <row r="1035430" ht="10.5" customHeight="1"/>
    <row r="1035431" ht="10.5" customHeight="1"/>
    <row r="1035432" ht="10.5" customHeight="1"/>
    <row r="1035433" ht="10.5" customHeight="1"/>
    <row r="1035434" ht="10.5" customHeight="1"/>
    <row r="1035435" ht="10.5" customHeight="1"/>
    <row r="1035436" ht="10.5" customHeight="1"/>
    <row r="1035437" ht="10.5" customHeight="1"/>
    <row r="1035438" ht="10.5" customHeight="1"/>
    <row r="1035439" ht="10.5" customHeight="1"/>
    <row r="1035440" ht="10.5" customHeight="1"/>
    <row r="1035441" ht="10.5" customHeight="1"/>
    <row r="1035442" ht="10.5" customHeight="1"/>
    <row r="1035443" ht="10.5" customHeight="1"/>
    <row r="1035444" ht="10.5" customHeight="1"/>
    <row r="1035445" ht="10.5" customHeight="1"/>
    <row r="1035446" ht="10.5" customHeight="1"/>
    <row r="1035447" ht="10.5" customHeight="1"/>
    <row r="1035448" ht="10.5" customHeight="1"/>
    <row r="1035449" ht="10.5" customHeight="1"/>
    <row r="1035450" ht="10.5" customHeight="1"/>
    <row r="1035451" ht="10.5" customHeight="1"/>
    <row r="1035452" ht="10.5" customHeight="1"/>
    <row r="1035453" ht="10.5" customHeight="1"/>
    <row r="1035454" ht="10.5" customHeight="1"/>
    <row r="1035455" ht="10.5" customHeight="1"/>
    <row r="1035456" ht="10.5" customHeight="1"/>
    <row r="1035457" ht="10.5" customHeight="1"/>
    <row r="1035458" ht="10.5" customHeight="1"/>
    <row r="1035459" ht="10.5" customHeight="1"/>
    <row r="1035460" ht="10.5" customHeight="1"/>
    <row r="1035461" ht="10.5" customHeight="1"/>
    <row r="1035462" ht="10.5" customHeight="1"/>
    <row r="1035463" ht="10.5" customHeight="1"/>
    <row r="1035464" ht="10.5" customHeight="1"/>
    <row r="1035465" ht="10.5" customHeight="1"/>
    <row r="1035466" ht="10.5" customHeight="1"/>
    <row r="1035467" ht="10.5" customHeight="1"/>
    <row r="1035468" ht="10.5" customHeight="1"/>
    <row r="1035469" ht="10.5" customHeight="1"/>
    <row r="1035470" ht="10.5" customHeight="1"/>
    <row r="1035471" ht="10.5" customHeight="1"/>
    <row r="1035472" ht="10.5" customHeight="1"/>
    <row r="1035473" ht="10.5" customHeight="1"/>
    <row r="1035474" ht="10.5" customHeight="1"/>
    <row r="1035475" ht="10.5" customHeight="1"/>
    <row r="1035476" ht="10.5" customHeight="1"/>
    <row r="1035477" ht="10.5" customHeight="1"/>
    <row r="1035478" ht="10.5" customHeight="1"/>
    <row r="1035479" ht="10.5" customHeight="1"/>
    <row r="1035480" ht="10.5" customHeight="1"/>
    <row r="1035481" ht="10.5" customHeight="1"/>
    <row r="1035482" ht="10.5" customHeight="1"/>
    <row r="1035483" ht="10.5" customHeight="1"/>
    <row r="1035484" ht="10.5" customHeight="1"/>
    <row r="1035485" ht="10.5" customHeight="1"/>
    <row r="1035486" ht="10.5" customHeight="1"/>
    <row r="1035487" ht="10.5" customHeight="1"/>
    <row r="1035488" ht="10.5" customHeight="1"/>
    <row r="1035489" ht="10.5" customHeight="1"/>
    <row r="1035490" ht="10.5" customHeight="1"/>
    <row r="1035491" ht="10.5" customHeight="1"/>
    <row r="1035492" ht="10.5" customHeight="1"/>
    <row r="1035493" ht="10.5" customHeight="1"/>
    <row r="1035494" ht="10.5" customHeight="1"/>
    <row r="1035495" ht="10.5" customHeight="1"/>
    <row r="1035496" ht="10.5" customHeight="1"/>
    <row r="1035497" ht="10.5" customHeight="1"/>
    <row r="1035498" ht="10.5" customHeight="1"/>
    <row r="1035499" ht="10.5" customHeight="1"/>
    <row r="1035500" ht="10.5" customHeight="1"/>
    <row r="1035501" ht="10.5" customHeight="1"/>
    <row r="1035502" ht="10.5" customHeight="1"/>
    <row r="1035503" ht="10.5" customHeight="1"/>
    <row r="1035504" ht="10.5" customHeight="1"/>
    <row r="1035505" ht="10.5" customHeight="1"/>
    <row r="1035506" ht="10.5" customHeight="1"/>
    <row r="1035507" ht="10.5" customHeight="1"/>
    <row r="1035508" ht="10.5" customHeight="1"/>
    <row r="1035509" ht="10.5" customHeight="1"/>
    <row r="1035510" ht="10.5" customHeight="1"/>
    <row r="1035511" ht="10.5" customHeight="1"/>
    <row r="1035512" ht="10.5" customHeight="1"/>
    <row r="1035513" ht="10.5" customHeight="1"/>
    <row r="1035514" ht="10.5" customHeight="1"/>
    <row r="1035515" ht="10.5" customHeight="1"/>
    <row r="1035516" ht="10.5" customHeight="1"/>
    <row r="1035517" ht="10.5" customHeight="1"/>
    <row r="1035518" ht="10.5" customHeight="1"/>
    <row r="1035519" ht="10.5" customHeight="1"/>
    <row r="1035520" ht="10.5" customHeight="1"/>
    <row r="1035521" ht="10.5" customHeight="1"/>
    <row r="1035522" ht="10.5" customHeight="1"/>
    <row r="1035523" ht="10.5" customHeight="1"/>
    <row r="1035524" ht="10.5" customHeight="1"/>
    <row r="1035525" ht="10.5" customHeight="1"/>
    <row r="1035526" ht="10.5" customHeight="1"/>
    <row r="1035527" ht="10.5" customHeight="1"/>
    <row r="1035528" ht="10.5" customHeight="1"/>
    <row r="1035529" ht="10.5" customHeight="1"/>
    <row r="1035530" ht="10.5" customHeight="1"/>
    <row r="1035531" ht="10.5" customHeight="1"/>
    <row r="1035532" ht="10.5" customHeight="1"/>
    <row r="1035533" ht="10.5" customHeight="1"/>
    <row r="1035534" ht="10.5" customHeight="1"/>
    <row r="1035535" ht="10.5" customHeight="1"/>
    <row r="1035536" ht="10.5" customHeight="1"/>
    <row r="1035537" ht="10.5" customHeight="1"/>
    <row r="1035538" ht="10.5" customHeight="1"/>
    <row r="1035539" ht="10.5" customHeight="1"/>
    <row r="1035540" ht="10.5" customHeight="1"/>
    <row r="1035541" ht="10.5" customHeight="1"/>
    <row r="1035542" ht="10.5" customHeight="1"/>
    <row r="1035543" ht="10.5" customHeight="1"/>
    <row r="1035544" ht="10.5" customHeight="1"/>
    <row r="1035545" ht="10.5" customHeight="1"/>
    <row r="1035546" ht="10.5" customHeight="1"/>
    <row r="1035547" ht="10.5" customHeight="1"/>
    <row r="1035548" ht="10.5" customHeight="1"/>
    <row r="1035549" ht="10.5" customHeight="1"/>
    <row r="1035550" ht="10.5" customHeight="1"/>
    <row r="1035551" ht="10.5" customHeight="1"/>
    <row r="1035552" ht="10.5" customHeight="1"/>
    <row r="1035553" ht="10.5" customHeight="1"/>
    <row r="1035554" ht="10.5" customHeight="1"/>
    <row r="1035555" ht="10.5" customHeight="1"/>
    <row r="1035556" ht="10.5" customHeight="1"/>
    <row r="1035557" ht="10.5" customHeight="1"/>
    <row r="1035558" ht="10.5" customHeight="1"/>
    <row r="1035559" ht="10.5" customHeight="1"/>
    <row r="1035560" ht="10.5" customHeight="1"/>
    <row r="1035561" ht="10.5" customHeight="1"/>
    <row r="1035562" ht="10.5" customHeight="1"/>
    <row r="1035563" ht="10.5" customHeight="1"/>
    <row r="1035564" ht="10.5" customHeight="1"/>
    <row r="1035565" ht="10.5" customHeight="1"/>
    <row r="1035566" ht="10.5" customHeight="1"/>
    <row r="1035567" ht="10.5" customHeight="1"/>
    <row r="1035568" ht="10.5" customHeight="1"/>
    <row r="1035569" ht="10.5" customHeight="1"/>
    <row r="1035570" ht="10.5" customHeight="1"/>
    <row r="1035571" ht="10.5" customHeight="1"/>
    <row r="1035572" ht="10.5" customHeight="1"/>
    <row r="1035573" ht="10.5" customHeight="1"/>
    <row r="1035574" ht="10.5" customHeight="1"/>
    <row r="1035575" ht="10.5" customHeight="1"/>
    <row r="1035576" ht="10.5" customHeight="1"/>
    <row r="1035577" ht="10.5" customHeight="1"/>
    <row r="1035578" ht="10.5" customHeight="1"/>
    <row r="1035579" ht="10.5" customHeight="1"/>
    <row r="1035580" ht="10.5" customHeight="1"/>
    <row r="1035581" ht="10.5" customHeight="1"/>
    <row r="1035582" ht="10.5" customHeight="1"/>
    <row r="1035583" ht="10.5" customHeight="1"/>
    <row r="1035584" ht="10.5" customHeight="1"/>
    <row r="1035585" ht="10.5" customHeight="1"/>
    <row r="1035586" ht="10.5" customHeight="1"/>
    <row r="1035587" ht="10.5" customHeight="1"/>
    <row r="1035588" ht="10.5" customHeight="1"/>
    <row r="1035589" ht="10.5" customHeight="1"/>
    <row r="1035590" ht="10.5" customHeight="1"/>
    <row r="1035591" ht="10.5" customHeight="1"/>
    <row r="1035592" ht="10.5" customHeight="1"/>
    <row r="1035593" ht="10.5" customHeight="1"/>
    <row r="1035594" ht="10.5" customHeight="1"/>
    <row r="1035595" ht="10.5" customHeight="1"/>
    <row r="1035596" ht="10.5" customHeight="1"/>
    <row r="1035597" ht="10.5" customHeight="1"/>
    <row r="1035598" ht="10.5" customHeight="1"/>
    <row r="1035599" ht="10.5" customHeight="1"/>
    <row r="1035600" ht="10.5" customHeight="1"/>
    <row r="1035601" ht="10.5" customHeight="1"/>
    <row r="1035602" ht="10.5" customHeight="1"/>
    <row r="1035603" ht="10.5" customHeight="1"/>
    <row r="1035604" ht="10.5" customHeight="1"/>
    <row r="1035605" ht="10.5" customHeight="1"/>
    <row r="1035606" ht="10.5" customHeight="1"/>
    <row r="1035607" ht="10.5" customHeight="1"/>
    <row r="1035608" ht="10.5" customHeight="1"/>
    <row r="1035609" ht="10.5" customHeight="1"/>
    <row r="1035610" ht="10.5" customHeight="1"/>
    <row r="1035611" ht="10.5" customHeight="1"/>
    <row r="1035612" ht="10.5" customHeight="1"/>
    <row r="1035613" ht="10.5" customHeight="1"/>
    <row r="1035614" ht="10.5" customHeight="1"/>
    <row r="1035615" ht="10.5" customHeight="1"/>
    <row r="1035616" ht="10.5" customHeight="1"/>
    <row r="1035617" ht="10.5" customHeight="1"/>
    <row r="1035618" ht="10.5" customHeight="1"/>
    <row r="1035619" ht="10.5" customHeight="1"/>
    <row r="1035620" ht="10.5" customHeight="1"/>
    <row r="1035621" ht="10.5" customHeight="1"/>
    <row r="1035622" ht="10.5" customHeight="1"/>
    <row r="1035623" ht="10.5" customHeight="1"/>
    <row r="1035624" ht="10.5" customHeight="1"/>
    <row r="1035625" ht="10.5" customHeight="1"/>
    <row r="1035626" ht="10.5" customHeight="1"/>
    <row r="1035627" ht="10.5" customHeight="1"/>
    <row r="1035628" ht="10.5" customHeight="1"/>
    <row r="1035629" ht="10.5" customHeight="1"/>
    <row r="1035630" ht="10.5" customHeight="1"/>
    <row r="1035631" ht="10.5" customHeight="1"/>
    <row r="1035632" ht="10.5" customHeight="1"/>
    <row r="1035633" ht="10.5" customHeight="1"/>
    <row r="1035634" ht="10.5" customHeight="1"/>
    <row r="1035635" ht="10.5" customHeight="1"/>
    <row r="1035636" ht="10.5" customHeight="1"/>
    <row r="1035637" ht="10.5" customHeight="1"/>
    <row r="1035638" ht="10.5" customHeight="1"/>
    <row r="1035639" ht="10.5" customHeight="1"/>
    <row r="1035640" ht="10.5" customHeight="1"/>
    <row r="1035641" ht="10.5" customHeight="1"/>
    <row r="1035642" ht="10.5" customHeight="1"/>
    <row r="1035643" ht="10.5" customHeight="1"/>
    <row r="1035644" ht="10.5" customHeight="1"/>
    <row r="1035645" ht="10.5" customHeight="1"/>
    <row r="1035646" ht="10.5" customHeight="1"/>
    <row r="1035647" ht="10.5" customHeight="1"/>
    <row r="1035648" ht="10.5" customHeight="1"/>
    <row r="1035649" ht="10.5" customHeight="1"/>
    <row r="1035650" ht="10.5" customHeight="1"/>
    <row r="1035651" ht="10.5" customHeight="1"/>
    <row r="1035652" ht="10.5" customHeight="1"/>
    <row r="1035653" ht="10.5" customHeight="1"/>
    <row r="1035654" ht="10.5" customHeight="1"/>
    <row r="1035655" ht="10.5" customHeight="1"/>
    <row r="1035656" ht="10.5" customHeight="1"/>
    <row r="1035657" ht="10.5" customHeight="1"/>
    <row r="1035658" ht="10.5" customHeight="1"/>
    <row r="1035659" ht="10.5" customHeight="1"/>
    <row r="1035660" ht="10.5" customHeight="1"/>
    <row r="1035661" ht="10.5" customHeight="1"/>
    <row r="1035662" ht="10.5" customHeight="1"/>
    <row r="1035663" ht="10.5" customHeight="1"/>
    <row r="1035664" ht="10.5" customHeight="1"/>
    <row r="1035665" ht="10.5" customHeight="1"/>
    <row r="1035666" ht="10.5" customHeight="1"/>
    <row r="1035667" ht="10.5" customHeight="1"/>
    <row r="1035668" ht="10.5" customHeight="1"/>
    <row r="1035669" ht="10.5" customHeight="1"/>
    <row r="1035670" ht="10.5" customHeight="1"/>
    <row r="1035671" ht="10.5" customHeight="1"/>
    <row r="1035672" ht="10.5" customHeight="1"/>
    <row r="1035673" ht="10.5" customHeight="1"/>
    <row r="1035674" ht="10.5" customHeight="1"/>
    <row r="1035675" ht="10.5" customHeight="1"/>
    <row r="1035676" ht="10.5" customHeight="1"/>
    <row r="1035677" ht="10.5" customHeight="1"/>
    <row r="1035678" ht="10.5" customHeight="1"/>
    <row r="1035679" ht="10.5" customHeight="1"/>
    <row r="1035680" ht="10.5" customHeight="1"/>
    <row r="1035681" ht="10.5" customHeight="1"/>
    <row r="1035682" ht="10.5" customHeight="1"/>
    <row r="1035683" ht="10.5" customHeight="1"/>
    <row r="1035684" ht="10.5" customHeight="1"/>
    <row r="1035685" ht="10.5" customHeight="1"/>
    <row r="1035686" ht="10.5" customHeight="1"/>
    <row r="1035687" ht="10.5" customHeight="1"/>
    <row r="1035688" ht="10.5" customHeight="1"/>
    <row r="1035689" ht="10.5" customHeight="1"/>
    <row r="1035690" ht="10.5" customHeight="1"/>
    <row r="1035691" ht="10.5" customHeight="1"/>
    <row r="1035692" ht="10.5" customHeight="1"/>
    <row r="1035693" ht="10.5" customHeight="1"/>
    <row r="1035694" ht="10.5" customHeight="1"/>
    <row r="1035695" ht="10.5" customHeight="1"/>
    <row r="1035696" ht="10.5" customHeight="1"/>
    <row r="1035697" ht="10.5" customHeight="1"/>
    <row r="1035698" ht="10.5" customHeight="1"/>
    <row r="1035699" ht="10.5" customHeight="1"/>
    <row r="1035700" ht="10.5" customHeight="1"/>
    <row r="1035701" ht="10.5" customHeight="1"/>
    <row r="1035702" ht="10.5" customHeight="1"/>
    <row r="1035703" ht="10.5" customHeight="1"/>
    <row r="1035704" ht="10.5" customHeight="1"/>
    <row r="1035705" ht="10.5" customHeight="1"/>
    <row r="1035706" ht="10.5" customHeight="1"/>
    <row r="1035707" ht="10.5" customHeight="1"/>
    <row r="1035708" ht="10.5" customHeight="1"/>
    <row r="1035709" ht="10.5" customHeight="1"/>
    <row r="1035710" ht="10.5" customHeight="1"/>
    <row r="1035711" ht="10.5" customHeight="1"/>
    <row r="1035712" ht="10.5" customHeight="1"/>
    <row r="1035713" ht="10.5" customHeight="1"/>
    <row r="1035714" ht="10.5" customHeight="1"/>
    <row r="1035715" ht="10.5" customHeight="1"/>
    <row r="1035716" ht="10.5" customHeight="1"/>
    <row r="1035717" ht="10.5" customHeight="1"/>
    <row r="1035718" ht="10.5" customHeight="1"/>
    <row r="1035719" ht="10.5" customHeight="1"/>
    <row r="1035720" ht="10.5" customHeight="1"/>
    <row r="1035721" ht="10.5" customHeight="1"/>
    <row r="1035722" ht="10.5" customHeight="1"/>
    <row r="1035723" ht="10.5" customHeight="1"/>
    <row r="1035724" ht="10.5" customHeight="1"/>
    <row r="1035725" ht="10.5" customHeight="1"/>
    <row r="1035726" ht="10.5" customHeight="1"/>
    <row r="1035727" ht="10.5" customHeight="1"/>
    <row r="1035728" ht="10.5" customHeight="1"/>
    <row r="1035729" ht="10.5" customHeight="1"/>
    <row r="1035730" ht="10.5" customHeight="1"/>
    <row r="1035731" ht="10.5" customHeight="1"/>
    <row r="1035732" ht="10.5" customHeight="1"/>
    <row r="1035733" ht="10.5" customHeight="1"/>
    <row r="1035734" ht="10.5" customHeight="1"/>
    <row r="1035735" ht="10.5" customHeight="1"/>
    <row r="1035736" ht="10.5" customHeight="1"/>
    <row r="1035737" ht="10.5" customHeight="1"/>
    <row r="1035738" ht="10.5" customHeight="1"/>
    <row r="1035739" ht="10.5" customHeight="1"/>
    <row r="1035740" ht="10.5" customHeight="1"/>
    <row r="1035741" ht="10.5" customHeight="1"/>
    <row r="1035742" ht="10.5" customHeight="1"/>
    <row r="1035743" ht="10.5" customHeight="1"/>
    <row r="1035744" ht="10.5" customHeight="1"/>
    <row r="1035745" ht="10.5" customHeight="1"/>
    <row r="1035746" ht="10.5" customHeight="1"/>
    <row r="1035747" ht="10.5" customHeight="1"/>
    <row r="1035748" ht="10.5" customHeight="1"/>
    <row r="1035749" ht="10.5" customHeight="1"/>
    <row r="1035750" ht="10.5" customHeight="1"/>
    <row r="1035751" ht="10.5" customHeight="1"/>
    <row r="1035752" ht="10.5" customHeight="1"/>
    <row r="1035753" ht="10.5" customHeight="1"/>
    <row r="1035754" ht="10.5" customHeight="1"/>
    <row r="1035755" ht="10.5" customHeight="1"/>
    <row r="1035756" ht="10.5" customHeight="1"/>
    <row r="1035757" ht="10.5" customHeight="1"/>
    <row r="1035758" ht="10.5" customHeight="1"/>
    <row r="1035759" ht="10.5" customHeight="1"/>
    <row r="1035760" ht="10.5" customHeight="1"/>
    <row r="1035761" ht="10.5" customHeight="1"/>
    <row r="1035762" ht="10.5" customHeight="1"/>
    <row r="1035763" ht="10.5" customHeight="1"/>
    <row r="1035764" ht="10.5" customHeight="1"/>
    <row r="1035765" ht="10.5" customHeight="1"/>
    <row r="1035766" ht="10.5" customHeight="1"/>
    <row r="1035767" ht="10.5" customHeight="1"/>
    <row r="1035768" ht="10.5" customHeight="1"/>
    <row r="1035769" ht="10.5" customHeight="1"/>
    <row r="1035770" ht="10.5" customHeight="1"/>
    <row r="1035771" ht="10.5" customHeight="1"/>
    <row r="1035772" ht="10.5" customHeight="1"/>
    <row r="1035773" ht="10.5" customHeight="1"/>
    <row r="1035774" ht="10.5" customHeight="1"/>
    <row r="1035775" ht="10.5" customHeight="1"/>
    <row r="1035776" ht="10.5" customHeight="1"/>
    <row r="1035777" ht="10.5" customHeight="1"/>
    <row r="1035778" ht="10.5" customHeight="1"/>
    <row r="1035779" ht="10.5" customHeight="1"/>
    <row r="1035780" ht="10.5" customHeight="1"/>
    <row r="1035781" ht="10.5" customHeight="1"/>
    <row r="1035782" ht="10.5" customHeight="1"/>
    <row r="1035783" ht="10.5" customHeight="1"/>
    <row r="1035784" ht="10.5" customHeight="1"/>
    <row r="1035785" ht="10.5" customHeight="1"/>
    <row r="1035786" ht="10.5" customHeight="1"/>
    <row r="1035787" ht="10.5" customHeight="1"/>
    <row r="1035788" ht="10.5" customHeight="1"/>
    <row r="1035789" ht="10.5" customHeight="1"/>
    <row r="1035790" ht="10.5" customHeight="1"/>
    <row r="1035791" ht="10.5" customHeight="1"/>
    <row r="1035792" ht="10.5" customHeight="1"/>
    <row r="1035793" ht="10.5" customHeight="1"/>
    <row r="1035794" ht="10.5" customHeight="1"/>
    <row r="1035795" ht="10.5" customHeight="1"/>
    <row r="1035796" ht="10.5" customHeight="1"/>
    <row r="1035797" ht="10.5" customHeight="1"/>
    <row r="1035798" ht="10.5" customHeight="1"/>
    <row r="1035799" ht="10.5" customHeight="1"/>
    <row r="1035800" ht="10.5" customHeight="1"/>
    <row r="1035801" ht="10.5" customHeight="1"/>
    <row r="1035802" ht="10.5" customHeight="1"/>
    <row r="1035803" ht="10.5" customHeight="1"/>
    <row r="1035804" ht="10.5" customHeight="1"/>
    <row r="1035805" ht="10.5" customHeight="1"/>
    <row r="1035806" ht="10.5" customHeight="1"/>
    <row r="1035807" ht="10.5" customHeight="1"/>
    <row r="1035808" ht="10.5" customHeight="1"/>
    <row r="1035809" ht="10.5" customHeight="1"/>
    <row r="1035810" ht="10.5" customHeight="1"/>
    <row r="1035811" ht="10.5" customHeight="1"/>
    <row r="1035812" ht="10.5" customHeight="1"/>
    <row r="1035813" ht="10.5" customHeight="1"/>
    <row r="1035814" ht="10.5" customHeight="1"/>
    <row r="1035815" ht="10.5" customHeight="1"/>
    <row r="1035816" ht="10.5" customHeight="1"/>
    <row r="1035817" ht="10.5" customHeight="1"/>
    <row r="1035818" ht="10.5" customHeight="1"/>
    <row r="1035819" ht="10.5" customHeight="1"/>
    <row r="1035820" ht="10.5" customHeight="1"/>
    <row r="1035821" ht="10.5" customHeight="1"/>
    <row r="1035822" ht="10.5" customHeight="1"/>
    <row r="1035823" ht="10.5" customHeight="1"/>
    <row r="1035824" ht="10.5" customHeight="1"/>
    <row r="1035825" ht="10.5" customHeight="1"/>
    <row r="1035826" ht="10.5" customHeight="1"/>
    <row r="1035827" ht="10.5" customHeight="1"/>
    <row r="1035828" ht="10.5" customHeight="1"/>
    <row r="1035829" ht="10.5" customHeight="1"/>
    <row r="1035830" ht="10.5" customHeight="1"/>
    <row r="1035831" ht="10.5" customHeight="1"/>
    <row r="1035832" ht="10.5" customHeight="1"/>
    <row r="1035833" ht="10.5" customHeight="1"/>
    <row r="1035834" ht="10.5" customHeight="1"/>
    <row r="1035835" ht="10.5" customHeight="1"/>
    <row r="1035836" ht="10.5" customHeight="1"/>
    <row r="1035837" ht="10.5" customHeight="1"/>
    <row r="1035838" ht="10.5" customHeight="1"/>
    <row r="1035839" ht="10.5" customHeight="1"/>
    <row r="1035840" ht="10.5" customHeight="1"/>
    <row r="1035841" ht="10.5" customHeight="1"/>
    <row r="1035842" ht="10.5" customHeight="1"/>
    <row r="1035843" ht="10.5" customHeight="1"/>
    <row r="1035844" ht="10.5" customHeight="1"/>
    <row r="1035845" ht="10.5" customHeight="1"/>
    <row r="1035846" ht="10.5" customHeight="1"/>
    <row r="1035847" ht="10.5" customHeight="1"/>
    <row r="1035848" ht="10.5" customHeight="1"/>
    <row r="1035849" ht="10.5" customHeight="1"/>
    <row r="1035850" ht="10.5" customHeight="1"/>
    <row r="1035851" ht="10.5" customHeight="1"/>
    <row r="1035852" ht="10.5" customHeight="1"/>
    <row r="1035853" ht="10.5" customHeight="1"/>
    <row r="1035854" ht="10.5" customHeight="1"/>
    <row r="1035855" ht="10.5" customHeight="1"/>
    <row r="1035856" ht="10.5" customHeight="1"/>
    <row r="1035857" ht="10.5" customHeight="1"/>
    <row r="1035858" ht="10.5" customHeight="1"/>
    <row r="1035859" ht="10.5" customHeight="1"/>
    <row r="1035860" ht="10.5" customHeight="1"/>
    <row r="1035861" ht="10.5" customHeight="1"/>
    <row r="1035862" ht="10.5" customHeight="1"/>
    <row r="1035863" ht="10.5" customHeight="1"/>
    <row r="1035864" ht="10.5" customHeight="1"/>
    <row r="1035865" ht="10.5" customHeight="1"/>
    <row r="1035866" ht="10.5" customHeight="1"/>
    <row r="1035867" ht="10.5" customHeight="1"/>
    <row r="1035868" ht="10.5" customHeight="1"/>
    <row r="1035869" ht="10.5" customHeight="1"/>
    <row r="1035870" ht="10.5" customHeight="1"/>
    <row r="1035871" ht="10.5" customHeight="1"/>
    <row r="1035872" ht="10.5" customHeight="1"/>
    <row r="1035873" ht="10.5" customHeight="1"/>
    <row r="1035874" ht="10.5" customHeight="1"/>
    <row r="1035875" ht="10.5" customHeight="1"/>
    <row r="1035876" ht="10.5" customHeight="1"/>
    <row r="1035877" ht="10.5" customHeight="1"/>
    <row r="1035878" ht="10.5" customHeight="1"/>
    <row r="1035879" ht="10.5" customHeight="1"/>
    <row r="1035880" ht="10.5" customHeight="1"/>
    <row r="1035881" ht="10.5" customHeight="1"/>
    <row r="1035882" ht="10.5" customHeight="1"/>
    <row r="1035883" ht="10.5" customHeight="1"/>
    <row r="1035884" ht="10.5" customHeight="1"/>
    <row r="1035885" ht="10.5" customHeight="1"/>
    <row r="1035886" ht="10.5" customHeight="1"/>
    <row r="1035887" ht="10.5" customHeight="1"/>
    <row r="1035888" ht="10.5" customHeight="1"/>
    <row r="1035889" ht="10.5" customHeight="1"/>
    <row r="1035890" ht="10.5" customHeight="1"/>
    <row r="1035891" ht="10.5" customHeight="1"/>
    <row r="1035892" ht="10.5" customHeight="1"/>
    <row r="1035893" ht="10.5" customHeight="1"/>
    <row r="1035894" ht="10.5" customHeight="1"/>
    <row r="1035895" ht="10.5" customHeight="1"/>
    <row r="1035896" ht="10.5" customHeight="1"/>
    <row r="1035897" ht="10.5" customHeight="1"/>
    <row r="1035898" ht="10.5" customHeight="1"/>
    <row r="1035899" ht="10.5" customHeight="1"/>
    <row r="1035900" ht="10.5" customHeight="1"/>
    <row r="1035901" ht="10.5" customHeight="1"/>
    <row r="1035902" ht="10.5" customHeight="1"/>
    <row r="1035903" ht="10.5" customHeight="1"/>
    <row r="1035904" ht="10.5" customHeight="1"/>
    <row r="1035905" ht="10.5" customHeight="1"/>
    <row r="1035906" ht="10.5" customHeight="1"/>
    <row r="1035907" ht="10.5" customHeight="1"/>
    <row r="1035908" ht="10.5" customHeight="1"/>
    <row r="1035909" ht="10.5" customHeight="1"/>
    <row r="1035910" ht="10.5" customHeight="1"/>
    <row r="1035911" ht="10.5" customHeight="1"/>
    <row r="1035912" ht="10.5" customHeight="1"/>
    <row r="1035913" ht="10.5" customHeight="1"/>
    <row r="1035914" ht="10.5" customHeight="1"/>
    <row r="1035915" ht="10.5" customHeight="1"/>
    <row r="1035916" ht="10.5" customHeight="1"/>
    <row r="1035917" ht="10.5" customHeight="1"/>
    <row r="1035918" ht="10.5" customHeight="1"/>
    <row r="1035919" ht="10.5" customHeight="1"/>
    <row r="1035920" ht="10.5" customHeight="1"/>
    <row r="1035921" ht="10.5" customHeight="1"/>
    <row r="1035922" ht="10.5" customHeight="1"/>
    <row r="1035923" ht="10.5" customHeight="1"/>
    <row r="1035924" ht="10.5" customHeight="1"/>
    <row r="1035925" ht="10.5" customHeight="1"/>
    <row r="1035926" ht="10.5" customHeight="1"/>
    <row r="1035927" ht="10.5" customHeight="1"/>
    <row r="1035928" ht="10.5" customHeight="1"/>
    <row r="1035929" ht="10.5" customHeight="1"/>
    <row r="1035930" ht="10.5" customHeight="1"/>
    <row r="1035931" ht="10.5" customHeight="1"/>
    <row r="1035932" ht="10.5" customHeight="1"/>
    <row r="1035933" ht="10.5" customHeight="1"/>
    <row r="1035934" ht="10.5" customHeight="1"/>
    <row r="1035935" ht="10.5" customHeight="1"/>
    <row r="1035936" ht="10.5" customHeight="1"/>
    <row r="1035937" ht="10.5" customHeight="1"/>
    <row r="1035938" ht="10.5" customHeight="1"/>
    <row r="1035939" ht="10.5" customHeight="1"/>
    <row r="1035940" ht="10.5" customHeight="1"/>
    <row r="1035941" ht="10.5" customHeight="1"/>
    <row r="1035942" ht="10.5" customHeight="1"/>
    <row r="1035943" ht="10.5" customHeight="1"/>
    <row r="1035944" ht="10.5" customHeight="1"/>
    <row r="1035945" ht="10.5" customHeight="1"/>
    <row r="1035946" ht="10.5" customHeight="1"/>
    <row r="1035947" ht="10.5" customHeight="1"/>
    <row r="1035948" ht="10.5" customHeight="1"/>
    <row r="1035949" ht="10.5" customHeight="1"/>
    <row r="1035950" ht="10.5" customHeight="1"/>
    <row r="1035951" ht="10.5" customHeight="1"/>
    <row r="1035952" ht="10.5" customHeight="1"/>
    <row r="1035953" ht="10.5" customHeight="1"/>
    <row r="1035954" ht="10.5" customHeight="1"/>
    <row r="1035955" ht="10.5" customHeight="1"/>
    <row r="1035956" ht="10.5" customHeight="1"/>
    <row r="1035957" ht="10.5" customHeight="1"/>
    <row r="1035958" ht="10.5" customHeight="1"/>
    <row r="1035959" ht="10.5" customHeight="1"/>
    <row r="1035960" ht="10.5" customHeight="1"/>
    <row r="1035961" ht="10.5" customHeight="1"/>
    <row r="1035962" ht="10.5" customHeight="1"/>
    <row r="1035963" ht="10.5" customHeight="1"/>
    <row r="1035964" ht="10.5" customHeight="1"/>
    <row r="1035965" ht="10.5" customHeight="1"/>
    <row r="1035966" ht="10.5" customHeight="1"/>
    <row r="1035967" ht="10.5" customHeight="1"/>
    <row r="1035968" ht="10.5" customHeight="1"/>
    <row r="1035969" ht="10.5" customHeight="1"/>
    <row r="1035970" ht="10.5" customHeight="1"/>
    <row r="1035971" ht="10.5" customHeight="1"/>
    <row r="1035972" ht="10.5" customHeight="1"/>
    <row r="1035973" ht="10.5" customHeight="1"/>
    <row r="1035974" ht="10.5" customHeight="1"/>
    <row r="1035975" ht="10.5" customHeight="1"/>
    <row r="1035976" ht="10.5" customHeight="1"/>
    <row r="1035977" ht="10.5" customHeight="1"/>
    <row r="1035978" ht="10.5" customHeight="1"/>
    <row r="1035979" ht="10.5" customHeight="1"/>
    <row r="1035980" ht="10.5" customHeight="1"/>
    <row r="1035981" ht="10.5" customHeight="1"/>
    <row r="1035982" ht="10.5" customHeight="1"/>
    <row r="1035983" ht="10.5" customHeight="1"/>
    <row r="1035984" ht="10.5" customHeight="1"/>
    <row r="1035985" ht="10.5" customHeight="1"/>
    <row r="1035986" ht="10.5" customHeight="1"/>
    <row r="1035987" ht="10.5" customHeight="1"/>
    <row r="1035988" ht="10.5" customHeight="1"/>
    <row r="1035989" ht="10.5" customHeight="1"/>
    <row r="1035990" ht="10.5" customHeight="1"/>
    <row r="1035991" ht="10.5" customHeight="1"/>
    <row r="1035992" ht="10.5" customHeight="1"/>
    <row r="1035993" ht="10.5" customHeight="1"/>
    <row r="1035994" ht="10.5" customHeight="1"/>
    <row r="1035995" ht="10.5" customHeight="1"/>
    <row r="1035996" ht="10.5" customHeight="1"/>
    <row r="1035997" ht="10.5" customHeight="1"/>
    <row r="1035998" ht="10.5" customHeight="1"/>
    <row r="1035999" ht="10.5" customHeight="1"/>
    <row r="1036000" ht="10.5" customHeight="1"/>
    <row r="1036001" ht="10.5" customHeight="1"/>
    <row r="1036002" ht="10.5" customHeight="1"/>
    <row r="1036003" ht="10.5" customHeight="1"/>
    <row r="1036004" ht="10.5" customHeight="1"/>
    <row r="1036005" ht="10.5" customHeight="1"/>
    <row r="1036006" ht="10.5" customHeight="1"/>
    <row r="1036007" ht="10.5" customHeight="1"/>
    <row r="1036008" ht="10.5" customHeight="1"/>
    <row r="1036009" ht="10.5" customHeight="1"/>
    <row r="1036010" ht="10.5" customHeight="1"/>
    <row r="1036011" ht="10.5" customHeight="1"/>
    <row r="1036012" ht="10.5" customHeight="1"/>
    <row r="1036013" ht="10.5" customHeight="1"/>
    <row r="1036014" ht="10.5" customHeight="1"/>
    <row r="1036015" ht="10.5" customHeight="1"/>
    <row r="1036016" ht="10.5" customHeight="1"/>
    <row r="1036017" ht="10.5" customHeight="1"/>
    <row r="1036018" ht="10.5" customHeight="1"/>
    <row r="1036019" ht="10.5" customHeight="1"/>
    <row r="1036020" ht="10.5" customHeight="1"/>
    <row r="1036021" ht="10.5" customHeight="1"/>
    <row r="1036022" ht="10.5" customHeight="1"/>
    <row r="1036023" ht="10.5" customHeight="1"/>
    <row r="1036024" ht="10.5" customHeight="1"/>
    <row r="1036025" ht="10.5" customHeight="1"/>
    <row r="1036026" ht="10.5" customHeight="1"/>
    <row r="1036027" ht="10.5" customHeight="1"/>
    <row r="1036028" ht="10.5" customHeight="1"/>
    <row r="1036029" ht="10.5" customHeight="1"/>
    <row r="1036030" ht="10.5" customHeight="1"/>
    <row r="1036031" ht="10.5" customHeight="1"/>
    <row r="1036032" ht="10.5" customHeight="1"/>
    <row r="1036033" ht="10.5" customHeight="1"/>
    <row r="1036034" ht="10.5" customHeight="1"/>
    <row r="1036035" ht="10.5" customHeight="1"/>
    <row r="1036036" ht="10.5" customHeight="1"/>
    <row r="1036037" ht="10.5" customHeight="1"/>
    <row r="1036038" ht="10.5" customHeight="1"/>
    <row r="1036039" ht="10.5" customHeight="1"/>
    <row r="1036040" ht="10.5" customHeight="1"/>
    <row r="1036041" ht="10.5" customHeight="1"/>
    <row r="1036042" ht="10.5" customHeight="1"/>
    <row r="1036043" ht="10.5" customHeight="1"/>
    <row r="1036044" ht="10.5" customHeight="1"/>
    <row r="1036045" ht="10.5" customHeight="1"/>
    <row r="1036046" ht="10.5" customHeight="1"/>
    <row r="1036047" ht="10.5" customHeight="1"/>
    <row r="1036048" ht="10.5" customHeight="1"/>
    <row r="1036049" ht="10.5" customHeight="1"/>
    <row r="1036050" ht="10.5" customHeight="1"/>
    <row r="1036051" ht="10.5" customHeight="1"/>
    <row r="1036052" ht="10.5" customHeight="1"/>
    <row r="1036053" ht="10.5" customHeight="1"/>
    <row r="1036054" ht="10.5" customHeight="1"/>
    <row r="1036055" ht="10.5" customHeight="1"/>
    <row r="1036056" ht="10.5" customHeight="1"/>
    <row r="1036057" ht="10.5" customHeight="1"/>
    <row r="1036058" ht="10.5" customHeight="1"/>
    <row r="1036059" ht="10.5" customHeight="1"/>
    <row r="1036060" ht="10.5" customHeight="1"/>
    <row r="1036061" ht="10.5" customHeight="1"/>
    <row r="1036062" ht="10.5" customHeight="1"/>
    <row r="1036063" ht="10.5" customHeight="1"/>
    <row r="1036064" ht="10.5" customHeight="1"/>
    <row r="1036065" ht="10.5" customHeight="1"/>
    <row r="1036066" ht="10.5" customHeight="1"/>
    <row r="1036067" ht="10.5" customHeight="1"/>
    <row r="1036068" ht="10.5" customHeight="1"/>
    <row r="1036069" ht="10.5" customHeight="1"/>
    <row r="1036070" ht="10.5" customHeight="1"/>
    <row r="1036071" ht="10.5" customHeight="1"/>
    <row r="1036072" ht="10.5" customHeight="1"/>
    <row r="1036073" ht="10.5" customHeight="1"/>
    <row r="1036074" ht="10.5" customHeight="1"/>
    <row r="1036075" ht="10.5" customHeight="1"/>
    <row r="1036076" ht="10.5" customHeight="1"/>
    <row r="1036077" ht="10.5" customHeight="1"/>
    <row r="1036078" ht="10.5" customHeight="1"/>
    <row r="1036079" ht="10.5" customHeight="1"/>
    <row r="1036080" ht="10.5" customHeight="1"/>
    <row r="1036081" ht="10.5" customHeight="1"/>
    <row r="1036082" ht="10.5" customHeight="1"/>
    <row r="1036083" ht="10.5" customHeight="1"/>
    <row r="1036084" ht="10.5" customHeight="1"/>
    <row r="1036085" ht="10.5" customHeight="1"/>
    <row r="1036086" ht="10.5" customHeight="1"/>
    <row r="1036087" ht="10.5" customHeight="1"/>
    <row r="1036088" ht="10.5" customHeight="1"/>
    <row r="1036089" ht="10.5" customHeight="1"/>
    <row r="1036090" ht="10.5" customHeight="1"/>
    <row r="1036091" ht="10.5" customHeight="1"/>
    <row r="1036092" ht="10.5" customHeight="1"/>
    <row r="1036093" ht="10.5" customHeight="1"/>
    <row r="1036094" ht="10.5" customHeight="1"/>
    <row r="1036095" ht="10.5" customHeight="1"/>
    <row r="1036096" ht="10.5" customHeight="1"/>
    <row r="1036097" ht="10.5" customHeight="1"/>
    <row r="1036098" ht="10.5" customHeight="1"/>
    <row r="1036099" ht="10.5" customHeight="1"/>
    <row r="1036100" ht="10.5" customHeight="1"/>
    <row r="1036101" ht="10.5" customHeight="1"/>
    <row r="1036102" ht="10.5" customHeight="1"/>
    <row r="1036103" ht="10.5" customHeight="1"/>
    <row r="1036104" ht="10.5" customHeight="1"/>
    <row r="1036105" ht="10.5" customHeight="1"/>
    <row r="1036106" ht="10.5" customHeight="1"/>
    <row r="1036107" ht="10.5" customHeight="1"/>
    <row r="1036108" ht="10.5" customHeight="1"/>
    <row r="1036109" ht="10.5" customHeight="1"/>
    <row r="1036110" ht="10.5" customHeight="1"/>
    <row r="1036111" ht="10.5" customHeight="1"/>
    <row r="1036112" ht="10.5" customHeight="1"/>
    <row r="1036113" ht="10.5" customHeight="1"/>
    <row r="1036114" ht="10.5" customHeight="1"/>
    <row r="1036115" ht="10.5" customHeight="1"/>
    <row r="1036116" ht="10.5" customHeight="1"/>
    <row r="1036117" ht="10.5" customHeight="1"/>
    <row r="1036118" ht="10.5" customHeight="1"/>
    <row r="1036119" ht="10.5" customHeight="1"/>
    <row r="1036120" ht="10.5" customHeight="1"/>
    <row r="1036121" ht="10.5" customHeight="1"/>
    <row r="1036122" ht="10.5" customHeight="1"/>
    <row r="1036123" ht="10.5" customHeight="1"/>
    <row r="1036124" ht="10.5" customHeight="1"/>
    <row r="1036125" ht="10.5" customHeight="1"/>
    <row r="1036126" ht="10.5" customHeight="1"/>
    <row r="1036127" ht="10.5" customHeight="1"/>
    <row r="1036128" ht="10.5" customHeight="1"/>
    <row r="1036129" ht="10.5" customHeight="1"/>
    <row r="1036130" ht="10.5" customHeight="1"/>
    <row r="1036131" ht="10.5" customHeight="1"/>
    <row r="1036132" ht="10.5" customHeight="1"/>
    <row r="1036133" ht="10.5" customHeight="1"/>
    <row r="1036134" ht="10.5" customHeight="1"/>
    <row r="1036135" ht="10.5" customHeight="1"/>
    <row r="1036136" ht="10.5" customHeight="1"/>
    <row r="1036137" ht="10.5" customHeight="1"/>
    <row r="1036138" ht="10.5" customHeight="1"/>
    <row r="1036139" ht="10.5" customHeight="1"/>
    <row r="1036140" ht="10.5" customHeight="1"/>
    <row r="1036141" ht="10.5" customHeight="1"/>
    <row r="1036142" ht="10.5" customHeight="1"/>
    <row r="1036143" ht="10.5" customHeight="1"/>
    <row r="1036144" ht="10.5" customHeight="1"/>
    <row r="1036145" ht="10.5" customHeight="1"/>
    <row r="1036146" ht="10.5" customHeight="1"/>
    <row r="1036147" ht="10.5" customHeight="1"/>
    <row r="1036148" ht="10.5" customHeight="1"/>
    <row r="1036149" ht="10.5" customHeight="1"/>
    <row r="1036150" ht="10.5" customHeight="1"/>
    <row r="1036151" ht="10.5" customHeight="1"/>
    <row r="1036152" ht="10.5" customHeight="1"/>
    <row r="1036153" ht="10.5" customHeight="1"/>
    <row r="1036154" ht="10.5" customHeight="1"/>
    <row r="1036155" ht="10.5" customHeight="1"/>
    <row r="1036156" ht="10.5" customHeight="1"/>
    <row r="1036157" ht="10.5" customHeight="1"/>
    <row r="1036158" ht="10.5" customHeight="1"/>
    <row r="1036159" ht="10.5" customHeight="1"/>
    <row r="1036160" ht="10.5" customHeight="1"/>
    <row r="1036161" ht="10.5" customHeight="1"/>
    <row r="1036162" ht="10.5" customHeight="1"/>
    <row r="1036163" ht="10.5" customHeight="1"/>
    <row r="1036164" ht="10.5" customHeight="1"/>
    <row r="1036165" ht="10.5" customHeight="1"/>
    <row r="1036166" ht="10.5" customHeight="1"/>
    <row r="1036167" ht="10.5" customHeight="1"/>
    <row r="1036168" ht="10.5" customHeight="1"/>
    <row r="1036169" ht="10.5" customHeight="1"/>
    <row r="1036170" ht="10.5" customHeight="1"/>
    <row r="1036171" ht="10.5" customHeight="1"/>
    <row r="1036172" ht="10.5" customHeight="1"/>
    <row r="1036173" ht="10.5" customHeight="1"/>
    <row r="1036174" ht="10.5" customHeight="1"/>
    <row r="1036175" ht="10.5" customHeight="1"/>
    <row r="1036176" ht="10.5" customHeight="1"/>
    <row r="1036177" ht="10.5" customHeight="1"/>
    <row r="1036178" ht="10.5" customHeight="1"/>
    <row r="1036179" ht="10.5" customHeight="1"/>
    <row r="1036180" ht="10.5" customHeight="1"/>
    <row r="1036181" ht="10.5" customHeight="1"/>
    <row r="1036182" ht="10.5" customHeight="1"/>
    <row r="1036183" ht="10.5" customHeight="1"/>
    <row r="1036184" ht="10.5" customHeight="1"/>
    <row r="1036185" ht="10.5" customHeight="1"/>
    <row r="1036186" ht="10.5" customHeight="1"/>
    <row r="1036187" ht="10.5" customHeight="1"/>
    <row r="1036188" ht="10.5" customHeight="1"/>
    <row r="1036189" ht="10.5" customHeight="1"/>
    <row r="1036190" ht="10.5" customHeight="1"/>
    <row r="1036191" ht="10.5" customHeight="1"/>
    <row r="1036192" ht="10.5" customHeight="1"/>
    <row r="1036193" ht="10.5" customHeight="1"/>
    <row r="1036194" ht="10.5" customHeight="1"/>
    <row r="1036195" ht="10.5" customHeight="1"/>
    <row r="1036196" ht="10.5" customHeight="1"/>
    <row r="1036197" ht="10.5" customHeight="1"/>
    <row r="1036198" ht="10.5" customHeight="1"/>
    <row r="1036199" ht="10.5" customHeight="1"/>
    <row r="1036200" ht="10.5" customHeight="1"/>
    <row r="1036201" ht="10.5" customHeight="1"/>
    <row r="1036202" ht="10.5" customHeight="1"/>
    <row r="1036203" ht="10.5" customHeight="1"/>
    <row r="1036204" ht="10.5" customHeight="1"/>
    <row r="1036205" ht="10.5" customHeight="1"/>
    <row r="1036206" ht="10.5" customHeight="1"/>
    <row r="1036207" ht="10.5" customHeight="1"/>
    <row r="1036208" ht="10.5" customHeight="1"/>
    <row r="1036209" ht="10.5" customHeight="1"/>
    <row r="1036210" ht="10.5" customHeight="1"/>
    <row r="1036211" ht="10.5" customHeight="1"/>
    <row r="1036212" ht="10.5" customHeight="1"/>
    <row r="1036213" ht="10.5" customHeight="1"/>
    <row r="1036214" ht="10.5" customHeight="1"/>
    <row r="1036215" ht="10.5" customHeight="1"/>
    <row r="1036216" ht="10.5" customHeight="1"/>
    <row r="1036217" ht="10.5" customHeight="1"/>
    <row r="1036218" ht="10.5" customHeight="1"/>
    <row r="1036219" ht="10.5" customHeight="1"/>
    <row r="1036220" ht="10.5" customHeight="1"/>
    <row r="1036221" ht="10.5" customHeight="1"/>
    <row r="1036222" ht="10.5" customHeight="1"/>
    <row r="1036223" ht="10.5" customHeight="1"/>
    <row r="1036224" ht="10.5" customHeight="1"/>
    <row r="1036225" ht="10.5" customHeight="1"/>
    <row r="1036226" ht="10.5" customHeight="1"/>
    <row r="1036227" ht="10.5" customHeight="1"/>
    <row r="1036228" ht="10.5" customHeight="1"/>
    <row r="1036229" ht="10.5" customHeight="1"/>
    <row r="1036230" ht="10.5" customHeight="1"/>
    <row r="1036231" ht="10.5" customHeight="1"/>
    <row r="1036232" ht="10.5" customHeight="1"/>
    <row r="1036233" ht="10.5" customHeight="1"/>
    <row r="1036234" ht="10.5" customHeight="1"/>
    <row r="1036235" ht="10.5" customHeight="1"/>
    <row r="1036236" ht="10.5" customHeight="1"/>
    <row r="1036237" ht="10.5" customHeight="1"/>
    <row r="1036238" ht="10.5" customHeight="1"/>
    <row r="1036239" ht="10.5" customHeight="1"/>
    <row r="1036240" ht="10.5" customHeight="1"/>
    <row r="1036241" ht="10.5" customHeight="1"/>
    <row r="1036242" ht="10.5" customHeight="1"/>
    <row r="1036243" ht="10.5" customHeight="1"/>
    <row r="1036244" ht="10.5" customHeight="1"/>
    <row r="1036245" ht="10.5" customHeight="1"/>
    <row r="1036246" ht="10.5" customHeight="1"/>
    <row r="1036247" ht="10.5" customHeight="1"/>
    <row r="1036248" ht="10.5" customHeight="1"/>
    <row r="1036249" ht="10.5" customHeight="1"/>
    <row r="1036250" ht="10.5" customHeight="1"/>
    <row r="1036251" ht="10.5" customHeight="1"/>
    <row r="1036252" ht="10.5" customHeight="1"/>
    <row r="1036253" ht="10.5" customHeight="1"/>
    <row r="1036254" ht="10.5" customHeight="1"/>
    <row r="1036255" ht="10.5" customHeight="1"/>
    <row r="1036256" ht="10.5" customHeight="1"/>
    <row r="1036257" ht="10.5" customHeight="1"/>
    <row r="1036258" ht="10.5" customHeight="1"/>
    <row r="1036259" ht="10.5" customHeight="1"/>
    <row r="1036260" ht="10.5" customHeight="1"/>
    <row r="1036261" ht="10.5" customHeight="1"/>
    <row r="1036262" ht="10.5" customHeight="1"/>
    <row r="1036263" ht="10.5" customHeight="1"/>
    <row r="1036264" ht="10.5" customHeight="1"/>
    <row r="1036265" ht="10.5" customHeight="1"/>
    <row r="1036266" ht="10.5" customHeight="1"/>
    <row r="1036267" ht="10.5" customHeight="1"/>
    <row r="1036268" ht="10.5" customHeight="1"/>
    <row r="1036269" ht="10.5" customHeight="1"/>
    <row r="1036270" ht="10.5" customHeight="1"/>
    <row r="1036271" ht="10.5" customHeight="1"/>
    <row r="1036272" ht="10.5" customHeight="1"/>
    <row r="1036273" ht="10.5" customHeight="1"/>
    <row r="1036274" ht="10.5" customHeight="1"/>
    <row r="1036275" ht="10.5" customHeight="1"/>
    <row r="1036276" ht="10.5" customHeight="1"/>
    <row r="1036277" ht="10.5" customHeight="1"/>
    <row r="1036278" ht="10.5" customHeight="1"/>
    <row r="1036279" ht="10.5" customHeight="1"/>
    <row r="1036280" ht="10.5" customHeight="1"/>
    <row r="1036281" ht="10.5" customHeight="1"/>
    <row r="1036282" ht="10.5" customHeight="1"/>
    <row r="1036283" ht="10.5" customHeight="1"/>
    <row r="1036284" ht="10.5" customHeight="1"/>
    <row r="1036285" ht="10.5" customHeight="1"/>
    <row r="1036286" ht="10.5" customHeight="1"/>
    <row r="1036287" ht="10.5" customHeight="1"/>
    <row r="1036288" ht="10.5" customHeight="1"/>
    <row r="1036289" ht="10.5" customHeight="1"/>
    <row r="1036290" ht="10.5" customHeight="1"/>
    <row r="1036291" ht="10.5" customHeight="1"/>
    <row r="1036292" ht="10.5" customHeight="1"/>
    <row r="1036293" ht="10.5" customHeight="1"/>
    <row r="1036294" ht="10.5" customHeight="1"/>
    <row r="1036295" ht="10.5" customHeight="1"/>
    <row r="1036296" ht="10.5" customHeight="1"/>
    <row r="1036297" ht="10.5" customHeight="1"/>
    <row r="1036298" ht="10.5" customHeight="1"/>
    <row r="1036299" ht="10.5" customHeight="1"/>
    <row r="1036300" ht="10.5" customHeight="1"/>
    <row r="1036301" ht="10.5" customHeight="1"/>
    <row r="1036302" ht="10.5" customHeight="1"/>
    <row r="1036303" ht="10.5" customHeight="1"/>
    <row r="1036304" ht="10.5" customHeight="1"/>
    <row r="1036305" ht="10.5" customHeight="1"/>
    <row r="1036306" ht="10.5" customHeight="1"/>
    <row r="1036307" ht="10.5" customHeight="1"/>
    <row r="1036308" ht="10.5" customHeight="1"/>
    <row r="1036309" ht="10.5" customHeight="1"/>
    <row r="1036310" ht="10.5" customHeight="1"/>
    <row r="1036311" ht="10.5" customHeight="1"/>
    <row r="1036312" ht="10.5" customHeight="1"/>
    <row r="1036313" ht="10.5" customHeight="1"/>
    <row r="1036314" ht="10.5" customHeight="1"/>
    <row r="1036315" ht="10.5" customHeight="1"/>
    <row r="1036316" ht="10.5" customHeight="1"/>
    <row r="1036317" ht="10.5" customHeight="1"/>
    <row r="1036318" ht="10.5" customHeight="1"/>
    <row r="1036319" ht="10.5" customHeight="1"/>
    <row r="1036320" ht="10.5" customHeight="1"/>
    <row r="1036321" ht="10.5" customHeight="1"/>
    <row r="1036322" ht="10.5" customHeight="1"/>
    <row r="1036323" ht="10.5" customHeight="1"/>
    <row r="1036324" ht="10.5" customHeight="1"/>
    <row r="1036325" ht="10.5" customHeight="1"/>
    <row r="1036326" ht="10.5" customHeight="1"/>
    <row r="1036327" ht="10.5" customHeight="1"/>
    <row r="1036328" ht="10.5" customHeight="1"/>
    <row r="1036329" ht="10.5" customHeight="1"/>
    <row r="1036330" ht="10.5" customHeight="1"/>
    <row r="1036331" ht="10.5" customHeight="1"/>
    <row r="1036332" ht="10.5" customHeight="1"/>
    <row r="1036333" ht="10.5" customHeight="1"/>
    <row r="1036334" ht="10.5" customHeight="1"/>
    <row r="1036335" ht="10.5" customHeight="1"/>
    <row r="1036336" ht="10.5" customHeight="1"/>
    <row r="1036337" ht="10.5" customHeight="1"/>
    <row r="1036338" ht="10.5" customHeight="1"/>
    <row r="1036339" ht="10.5" customHeight="1"/>
    <row r="1036340" ht="10.5" customHeight="1"/>
    <row r="1036341" ht="10.5" customHeight="1"/>
    <row r="1036342" ht="10.5" customHeight="1"/>
    <row r="1036343" ht="10.5" customHeight="1"/>
    <row r="1036344" ht="10.5" customHeight="1"/>
    <row r="1036345" ht="10.5" customHeight="1"/>
    <row r="1036346" ht="10.5" customHeight="1"/>
    <row r="1036347" ht="10.5" customHeight="1"/>
    <row r="1036348" ht="10.5" customHeight="1"/>
    <row r="1036349" ht="10.5" customHeight="1"/>
    <row r="1036350" ht="10.5" customHeight="1"/>
    <row r="1036351" ht="10.5" customHeight="1"/>
    <row r="1036352" ht="10.5" customHeight="1"/>
    <row r="1036353" ht="10.5" customHeight="1"/>
    <row r="1036354" ht="10.5" customHeight="1"/>
    <row r="1036355" ht="10.5" customHeight="1"/>
    <row r="1036356" ht="10.5" customHeight="1"/>
    <row r="1036357" ht="10.5" customHeight="1"/>
    <row r="1036358" ht="10.5" customHeight="1"/>
    <row r="1036359" ht="10.5" customHeight="1"/>
    <row r="1036360" ht="10.5" customHeight="1"/>
    <row r="1036361" ht="10.5" customHeight="1"/>
    <row r="1036362" ht="10.5" customHeight="1"/>
    <row r="1036363" ht="10.5" customHeight="1"/>
    <row r="1036364" ht="10.5" customHeight="1"/>
    <row r="1036365" ht="10.5" customHeight="1"/>
    <row r="1036366" ht="10.5" customHeight="1"/>
    <row r="1036367" ht="10.5" customHeight="1"/>
    <row r="1036368" ht="10.5" customHeight="1"/>
    <row r="1036369" ht="10.5" customHeight="1"/>
    <row r="1036370" ht="10.5" customHeight="1"/>
    <row r="1036371" ht="10.5" customHeight="1"/>
    <row r="1036372" ht="10.5" customHeight="1"/>
    <row r="1036373" ht="10.5" customHeight="1"/>
    <row r="1036374" ht="10.5" customHeight="1"/>
    <row r="1036375" ht="10.5" customHeight="1"/>
    <row r="1036376" ht="10.5" customHeight="1"/>
    <row r="1036377" ht="10.5" customHeight="1"/>
    <row r="1036378" ht="10.5" customHeight="1"/>
    <row r="1036379" ht="10.5" customHeight="1"/>
    <row r="1036380" ht="10.5" customHeight="1"/>
    <row r="1036381" ht="10.5" customHeight="1"/>
    <row r="1036382" ht="10.5" customHeight="1"/>
    <row r="1036383" ht="10.5" customHeight="1"/>
    <row r="1036384" ht="10.5" customHeight="1"/>
    <row r="1036385" ht="10.5" customHeight="1"/>
    <row r="1036386" ht="10.5" customHeight="1"/>
    <row r="1036387" ht="10.5" customHeight="1"/>
    <row r="1036388" ht="10.5" customHeight="1"/>
    <row r="1036389" ht="10.5" customHeight="1"/>
    <row r="1036390" ht="10.5" customHeight="1"/>
    <row r="1036391" ht="10.5" customHeight="1"/>
    <row r="1036392" ht="10.5" customHeight="1"/>
    <row r="1036393" ht="10.5" customHeight="1"/>
    <row r="1036394" ht="10.5" customHeight="1"/>
    <row r="1036395" ht="10.5" customHeight="1"/>
    <row r="1036396" ht="10.5" customHeight="1"/>
    <row r="1036397" ht="10.5" customHeight="1"/>
    <row r="1036398" ht="10.5" customHeight="1"/>
    <row r="1036399" ht="10.5" customHeight="1"/>
    <row r="1036400" ht="10.5" customHeight="1"/>
    <row r="1036401" ht="10.5" customHeight="1"/>
    <row r="1036402" ht="10.5" customHeight="1"/>
    <row r="1036403" ht="10.5" customHeight="1"/>
    <row r="1036404" ht="10.5" customHeight="1"/>
    <row r="1036405" ht="10.5" customHeight="1"/>
    <row r="1036406" ht="10.5" customHeight="1"/>
    <row r="1036407" ht="10.5" customHeight="1"/>
    <row r="1036408" ht="10.5" customHeight="1"/>
    <row r="1036409" ht="10.5" customHeight="1"/>
    <row r="1036410" ht="10.5" customHeight="1"/>
    <row r="1036411" ht="10.5" customHeight="1"/>
    <row r="1036412" ht="10.5" customHeight="1"/>
    <row r="1036413" ht="10.5" customHeight="1"/>
    <row r="1036414" ht="10.5" customHeight="1"/>
    <row r="1036415" ht="10.5" customHeight="1"/>
    <row r="1036416" ht="10.5" customHeight="1"/>
    <row r="1036417" ht="10.5" customHeight="1"/>
    <row r="1036418" ht="10.5" customHeight="1"/>
    <row r="1036419" ht="10.5" customHeight="1"/>
    <row r="1036420" ht="10.5" customHeight="1"/>
    <row r="1036421" ht="10.5" customHeight="1"/>
    <row r="1036422" ht="10.5" customHeight="1"/>
    <row r="1036423" ht="10.5" customHeight="1"/>
    <row r="1036424" ht="10.5" customHeight="1"/>
    <row r="1036425" ht="10.5" customHeight="1"/>
    <row r="1036426" ht="10.5" customHeight="1"/>
    <row r="1036427" ht="10.5" customHeight="1"/>
    <row r="1036428" ht="10.5" customHeight="1"/>
    <row r="1036429" ht="10.5" customHeight="1"/>
    <row r="1036430" ht="10.5" customHeight="1"/>
    <row r="1036431" ht="10.5" customHeight="1"/>
    <row r="1036432" ht="10.5" customHeight="1"/>
    <row r="1036433" ht="10.5" customHeight="1"/>
    <row r="1036434" ht="10.5" customHeight="1"/>
    <row r="1036435" ht="10.5" customHeight="1"/>
    <row r="1036436" ht="10.5" customHeight="1"/>
    <row r="1036437" ht="10.5" customHeight="1"/>
    <row r="1036438" ht="10.5" customHeight="1"/>
    <row r="1036439" ht="10.5" customHeight="1"/>
    <row r="1036440" ht="10.5" customHeight="1"/>
    <row r="1036441" ht="10.5" customHeight="1"/>
    <row r="1036442" ht="10.5" customHeight="1"/>
    <row r="1036443" ht="10.5" customHeight="1"/>
    <row r="1036444" ht="10.5" customHeight="1"/>
    <row r="1036445" ht="10.5" customHeight="1"/>
    <row r="1036446" ht="10.5" customHeight="1"/>
    <row r="1036447" ht="10.5" customHeight="1"/>
    <row r="1036448" ht="10.5" customHeight="1"/>
    <row r="1036449" ht="10.5" customHeight="1"/>
    <row r="1036450" ht="10.5" customHeight="1"/>
    <row r="1036451" ht="10.5" customHeight="1"/>
    <row r="1036452" ht="10.5" customHeight="1"/>
    <row r="1036453" ht="10.5" customHeight="1"/>
    <row r="1036454" ht="10.5" customHeight="1"/>
    <row r="1036455" ht="10.5" customHeight="1"/>
    <row r="1036456" ht="10.5" customHeight="1"/>
    <row r="1036457" ht="10.5" customHeight="1"/>
    <row r="1036458" ht="10.5" customHeight="1"/>
    <row r="1036459" ht="10.5" customHeight="1"/>
    <row r="1036460" ht="10.5" customHeight="1"/>
    <row r="1036461" ht="10.5" customHeight="1"/>
    <row r="1036462" ht="10.5" customHeight="1"/>
    <row r="1036463" ht="10.5" customHeight="1"/>
    <row r="1036464" ht="10.5" customHeight="1"/>
    <row r="1036465" ht="10.5" customHeight="1"/>
    <row r="1036466" ht="10.5" customHeight="1"/>
    <row r="1036467" ht="10.5" customHeight="1"/>
    <row r="1036468" ht="10.5" customHeight="1"/>
    <row r="1036469" ht="10.5" customHeight="1"/>
    <row r="1036470" ht="10.5" customHeight="1"/>
    <row r="1036471" ht="10.5" customHeight="1"/>
    <row r="1036472" ht="10.5" customHeight="1"/>
    <row r="1036473" ht="10.5" customHeight="1"/>
    <row r="1036474" ht="10.5" customHeight="1"/>
    <row r="1036475" ht="10.5" customHeight="1"/>
    <row r="1036476" ht="10.5" customHeight="1"/>
    <row r="1036477" ht="10.5" customHeight="1"/>
    <row r="1036478" ht="10.5" customHeight="1"/>
    <row r="1036479" ht="10.5" customHeight="1"/>
    <row r="1036480" ht="10.5" customHeight="1"/>
    <row r="1036481" ht="10.5" customHeight="1"/>
    <row r="1036482" ht="10.5" customHeight="1"/>
    <row r="1036483" ht="10.5" customHeight="1"/>
    <row r="1036484" ht="10.5" customHeight="1"/>
    <row r="1036485" ht="10.5" customHeight="1"/>
    <row r="1036486" ht="10.5" customHeight="1"/>
    <row r="1036487" ht="10.5" customHeight="1"/>
    <row r="1036488" ht="10.5" customHeight="1"/>
    <row r="1036489" ht="10.5" customHeight="1"/>
    <row r="1036490" ht="10.5" customHeight="1"/>
    <row r="1036491" ht="10.5" customHeight="1"/>
    <row r="1036492" ht="10.5" customHeight="1"/>
    <row r="1036493" ht="10.5" customHeight="1"/>
    <row r="1036494" ht="10.5" customHeight="1"/>
    <row r="1036495" ht="10.5" customHeight="1"/>
    <row r="1036496" ht="10.5" customHeight="1"/>
    <row r="1036497" ht="10.5" customHeight="1"/>
    <row r="1036498" ht="10.5" customHeight="1"/>
    <row r="1036499" ht="10.5" customHeight="1"/>
    <row r="1036500" ht="10.5" customHeight="1"/>
    <row r="1036501" ht="10.5" customHeight="1"/>
    <row r="1036502" ht="10.5" customHeight="1"/>
    <row r="1036503" ht="10.5" customHeight="1"/>
    <row r="1036504" ht="10.5" customHeight="1"/>
    <row r="1036505" ht="10.5" customHeight="1"/>
    <row r="1036506" ht="10.5" customHeight="1"/>
    <row r="1036507" ht="10.5" customHeight="1"/>
    <row r="1036508" ht="10.5" customHeight="1"/>
    <row r="1036509" ht="10.5" customHeight="1"/>
    <row r="1036510" ht="10.5" customHeight="1"/>
    <row r="1036511" ht="10.5" customHeight="1"/>
    <row r="1036512" ht="10.5" customHeight="1"/>
    <row r="1036513" ht="10.5" customHeight="1"/>
    <row r="1036514" ht="10.5" customHeight="1"/>
    <row r="1036515" ht="10.5" customHeight="1"/>
    <row r="1036516" ht="10.5" customHeight="1"/>
    <row r="1036517" ht="10.5" customHeight="1"/>
    <row r="1036518" ht="10.5" customHeight="1"/>
    <row r="1036519" ht="10.5" customHeight="1"/>
    <row r="1036520" ht="10.5" customHeight="1"/>
    <row r="1036521" ht="10.5" customHeight="1"/>
    <row r="1036522" ht="10.5" customHeight="1"/>
    <row r="1036523" ht="10.5" customHeight="1"/>
    <row r="1036524" ht="10.5" customHeight="1"/>
    <row r="1036525" ht="10.5" customHeight="1"/>
    <row r="1036526" ht="10.5" customHeight="1"/>
    <row r="1036527" ht="10.5" customHeight="1"/>
    <row r="1036528" ht="10.5" customHeight="1"/>
    <row r="1036529" ht="10.5" customHeight="1"/>
    <row r="1036530" ht="10.5" customHeight="1"/>
    <row r="1036531" ht="10.5" customHeight="1"/>
    <row r="1036532" ht="10.5" customHeight="1"/>
    <row r="1036533" ht="10.5" customHeight="1"/>
    <row r="1036534" ht="10.5" customHeight="1"/>
    <row r="1036535" ht="10.5" customHeight="1"/>
    <row r="1036536" ht="10.5" customHeight="1"/>
    <row r="1036537" ht="10.5" customHeight="1"/>
    <row r="1036538" ht="10.5" customHeight="1"/>
    <row r="1036539" ht="10.5" customHeight="1"/>
    <row r="1036540" ht="10.5" customHeight="1"/>
    <row r="1036541" ht="10.5" customHeight="1"/>
    <row r="1036542" ht="10.5" customHeight="1"/>
    <row r="1036543" ht="10.5" customHeight="1"/>
    <row r="1036544" ht="10.5" customHeight="1"/>
    <row r="1036545" ht="10.5" customHeight="1"/>
    <row r="1036546" ht="10.5" customHeight="1"/>
    <row r="1036547" ht="10.5" customHeight="1"/>
    <row r="1036548" ht="10.5" customHeight="1"/>
    <row r="1036549" ht="10.5" customHeight="1"/>
    <row r="1036550" ht="10.5" customHeight="1"/>
    <row r="1036551" ht="10.5" customHeight="1"/>
    <row r="1036552" ht="10.5" customHeight="1"/>
    <row r="1036553" ht="10.5" customHeight="1"/>
    <row r="1036554" ht="10.5" customHeight="1"/>
    <row r="1036555" ht="10.5" customHeight="1"/>
    <row r="1036556" ht="10.5" customHeight="1"/>
    <row r="1036557" ht="10.5" customHeight="1"/>
    <row r="1036558" ht="10.5" customHeight="1"/>
    <row r="1036559" ht="10.5" customHeight="1"/>
    <row r="1036560" ht="10.5" customHeight="1"/>
    <row r="1036561" ht="10.5" customHeight="1"/>
    <row r="1036562" ht="10.5" customHeight="1"/>
    <row r="1036563" ht="10.5" customHeight="1"/>
    <row r="1036564" ht="10.5" customHeight="1"/>
    <row r="1036565" ht="10.5" customHeight="1"/>
    <row r="1036566" ht="10.5" customHeight="1"/>
    <row r="1036567" ht="10.5" customHeight="1"/>
    <row r="1036568" ht="10.5" customHeight="1"/>
    <row r="1036569" ht="10.5" customHeight="1"/>
    <row r="1036570" ht="10.5" customHeight="1"/>
    <row r="1036571" ht="10.5" customHeight="1"/>
    <row r="1036572" ht="10.5" customHeight="1"/>
    <row r="1036573" ht="10.5" customHeight="1"/>
    <row r="1036574" ht="10.5" customHeight="1"/>
    <row r="1036575" ht="10.5" customHeight="1"/>
    <row r="1036576" ht="10.5" customHeight="1"/>
    <row r="1036577" ht="10.5" customHeight="1"/>
    <row r="1036578" ht="10.5" customHeight="1"/>
    <row r="1036579" ht="10.5" customHeight="1"/>
    <row r="1036580" ht="10.5" customHeight="1"/>
    <row r="1036581" ht="10.5" customHeight="1"/>
    <row r="1036582" ht="10.5" customHeight="1"/>
    <row r="1036583" ht="10.5" customHeight="1"/>
    <row r="1036584" ht="10.5" customHeight="1"/>
    <row r="1036585" ht="10.5" customHeight="1"/>
    <row r="1036586" ht="10.5" customHeight="1"/>
    <row r="1036587" ht="10.5" customHeight="1"/>
    <row r="1036588" ht="10.5" customHeight="1"/>
    <row r="1036589" ht="10.5" customHeight="1"/>
    <row r="1036590" ht="10.5" customHeight="1"/>
    <row r="1036591" ht="10.5" customHeight="1"/>
    <row r="1036592" ht="10.5" customHeight="1"/>
    <row r="1036593" ht="10.5" customHeight="1"/>
    <row r="1036594" ht="10.5" customHeight="1"/>
    <row r="1036595" ht="10.5" customHeight="1"/>
    <row r="1036596" ht="10.5" customHeight="1"/>
    <row r="1036597" ht="10.5" customHeight="1"/>
    <row r="1036598" ht="10.5" customHeight="1"/>
    <row r="1036599" ht="10.5" customHeight="1"/>
    <row r="1036600" ht="10.5" customHeight="1"/>
    <row r="1036601" ht="10.5" customHeight="1"/>
    <row r="1036602" ht="10.5" customHeight="1"/>
    <row r="1036603" ht="10.5" customHeight="1"/>
    <row r="1036604" ht="10.5" customHeight="1"/>
    <row r="1036605" ht="10.5" customHeight="1"/>
    <row r="1036606" ht="10.5" customHeight="1"/>
    <row r="1036607" ht="10.5" customHeight="1"/>
    <row r="1036608" ht="10.5" customHeight="1"/>
    <row r="1036609" ht="10.5" customHeight="1"/>
    <row r="1036610" ht="10.5" customHeight="1"/>
    <row r="1036611" ht="10.5" customHeight="1"/>
    <row r="1036612" ht="10.5" customHeight="1"/>
    <row r="1036613" ht="10.5" customHeight="1"/>
    <row r="1036614" ht="10.5" customHeight="1"/>
    <row r="1036615" ht="10.5" customHeight="1"/>
    <row r="1036616" ht="10.5" customHeight="1"/>
    <row r="1036617" ht="10.5" customHeight="1"/>
    <row r="1036618" ht="10.5" customHeight="1"/>
    <row r="1036619" ht="10.5" customHeight="1"/>
    <row r="1036620" ht="10.5" customHeight="1"/>
    <row r="1036621" ht="10.5" customHeight="1"/>
    <row r="1036622" ht="10.5" customHeight="1"/>
    <row r="1036623" ht="10.5" customHeight="1"/>
    <row r="1036624" ht="10.5" customHeight="1"/>
    <row r="1036625" ht="10.5" customHeight="1"/>
    <row r="1036626" ht="10.5" customHeight="1"/>
    <row r="1036627" ht="10.5" customHeight="1"/>
    <row r="1036628" ht="10.5" customHeight="1"/>
    <row r="1036629" ht="10.5" customHeight="1"/>
    <row r="1036630" ht="10.5" customHeight="1"/>
    <row r="1036631" ht="10.5" customHeight="1"/>
    <row r="1036632" ht="10.5" customHeight="1"/>
    <row r="1036633" ht="10.5" customHeight="1"/>
    <row r="1036634" ht="10.5" customHeight="1"/>
    <row r="1036635" ht="10.5" customHeight="1"/>
    <row r="1036636" ht="10.5" customHeight="1"/>
    <row r="1036637" ht="10.5" customHeight="1"/>
    <row r="1036638" ht="10.5" customHeight="1"/>
    <row r="1036639" ht="10.5" customHeight="1"/>
    <row r="1036640" ht="10.5" customHeight="1"/>
    <row r="1036641" ht="10.5" customHeight="1"/>
    <row r="1036642" ht="10.5" customHeight="1"/>
    <row r="1036643" ht="10.5" customHeight="1"/>
    <row r="1036644" ht="10.5" customHeight="1"/>
    <row r="1036645" ht="10.5" customHeight="1"/>
    <row r="1036646" ht="10.5" customHeight="1"/>
    <row r="1036647" ht="10.5" customHeight="1"/>
    <row r="1036648" ht="10.5" customHeight="1"/>
    <row r="1036649" ht="10.5" customHeight="1"/>
    <row r="1036650" ht="10.5" customHeight="1"/>
    <row r="1036651" ht="10.5" customHeight="1"/>
    <row r="1036652" ht="10.5" customHeight="1"/>
    <row r="1036653" ht="10.5" customHeight="1"/>
    <row r="1036654" ht="10.5" customHeight="1"/>
    <row r="1036655" ht="10.5" customHeight="1"/>
    <row r="1036656" ht="10.5" customHeight="1"/>
    <row r="1036657" ht="10.5" customHeight="1"/>
    <row r="1036658" ht="10.5" customHeight="1"/>
    <row r="1036659" ht="10.5" customHeight="1"/>
    <row r="1036660" ht="10.5" customHeight="1"/>
    <row r="1036661" ht="10.5" customHeight="1"/>
    <row r="1036662" ht="10.5" customHeight="1"/>
    <row r="1036663" ht="10.5" customHeight="1"/>
    <row r="1036664" ht="10.5" customHeight="1"/>
    <row r="1036665" ht="10.5" customHeight="1"/>
    <row r="1036666" ht="10.5" customHeight="1"/>
    <row r="1036667" ht="10.5" customHeight="1"/>
    <row r="1036668" ht="10.5" customHeight="1"/>
    <row r="1036669" ht="10.5" customHeight="1"/>
    <row r="1036670" ht="10.5" customHeight="1"/>
    <row r="1036671" ht="10.5" customHeight="1"/>
    <row r="1036672" ht="10.5" customHeight="1"/>
    <row r="1036673" ht="10.5" customHeight="1"/>
    <row r="1036674" ht="10.5" customHeight="1"/>
    <row r="1036675" ht="10.5" customHeight="1"/>
    <row r="1036676" ht="10.5" customHeight="1"/>
    <row r="1036677" ht="10.5" customHeight="1"/>
    <row r="1036678" ht="10.5" customHeight="1"/>
    <row r="1036679" ht="10.5" customHeight="1"/>
    <row r="1036680" ht="10.5" customHeight="1"/>
    <row r="1036681" ht="10.5" customHeight="1"/>
    <row r="1036682" ht="10.5" customHeight="1"/>
    <row r="1036683" ht="10.5" customHeight="1"/>
    <row r="1036684" ht="10.5" customHeight="1"/>
    <row r="1036685" ht="10.5" customHeight="1"/>
    <row r="1036686" ht="10.5" customHeight="1"/>
    <row r="1036687" ht="10.5" customHeight="1"/>
    <row r="1036688" ht="10.5" customHeight="1"/>
    <row r="1036689" ht="10.5" customHeight="1"/>
    <row r="1036690" ht="10.5" customHeight="1"/>
    <row r="1036691" ht="10.5" customHeight="1"/>
    <row r="1036692" ht="10.5" customHeight="1"/>
    <row r="1036693" ht="10.5" customHeight="1"/>
    <row r="1036694" ht="10.5" customHeight="1"/>
    <row r="1036695" ht="10.5" customHeight="1"/>
    <row r="1036696" ht="10.5" customHeight="1"/>
    <row r="1036697" ht="10.5" customHeight="1"/>
    <row r="1036698" ht="10.5" customHeight="1"/>
    <row r="1036699" ht="10.5" customHeight="1"/>
    <row r="1036700" ht="10.5" customHeight="1"/>
    <row r="1036701" ht="10.5" customHeight="1"/>
    <row r="1036702" ht="10.5" customHeight="1"/>
    <row r="1036703" ht="10.5" customHeight="1"/>
    <row r="1036704" ht="10.5" customHeight="1"/>
    <row r="1036705" ht="10.5" customHeight="1"/>
    <row r="1036706" ht="10.5" customHeight="1"/>
    <row r="1036707" ht="10.5" customHeight="1"/>
    <row r="1036708" ht="10.5" customHeight="1"/>
    <row r="1036709" ht="10.5" customHeight="1"/>
    <row r="1036710" ht="10.5" customHeight="1"/>
    <row r="1036711" ht="10.5" customHeight="1"/>
    <row r="1036712" ht="10.5" customHeight="1"/>
    <row r="1036713" ht="10.5" customHeight="1"/>
    <row r="1036714" ht="10.5" customHeight="1"/>
    <row r="1036715" ht="10.5" customHeight="1"/>
    <row r="1036716" ht="10.5" customHeight="1"/>
    <row r="1036717" ht="10.5" customHeight="1"/>
    <row r="1036718" ht="10.5" customHeight="1"/>
    <row r="1036719" ht="10.5" customHeight="1"/>
    <row r="1036720" ht="10.5" customHeight="1"/>
    <row r="1036721" ht="10.5" customHeight="1"/>
    <row r="1036722" ht="10.5" customHeight="1"/>
    <row r="1036723" ht="10.5" customHeight="1"/>
    <row r="1036724" ht="10.5" customHeight="1"/>
    <row r="1036725" ht="10.5" customHeight="1"/>
    <row r="1036726" ht="10.5" customHeight="1"/>
    <row r="1036727" ht="10.5" customHeight="1"/>
    <row r="1036728" ht="10.5" customHeight="1"/>
    <row r="1036729" ht="10.5" customHeight="1"/>
    <row r="1036730" ht="10.5" customHeight="1"/>
    <row r="1036731" ht="10.5" customHeight="1"/>
    <row r="1036732" ht="10.5" customHeight="1"/>
    <row r="1036733" ht="10.5" customHeight="1"/>
    <row r="1036734" ht="10.5" customHeight="1"/>
    <row r="1036735" ht="10.5" customHeight="1"/>
    <row r="1036736" ht="10.5" customHeight="1"/>
    <row r="1036737" ht="10.5" customHeight="1"/>
    <row r="1036738" ht="10.5" customHeight="1"/>
    <row r="1036739" ht="10.5" customHeight="1"/>
    <row r="1036740" ht="10.5" customHeight="1"/>
    <row r="1036741" ht="10.5" customHeight="1"/>
    <row r="1036742" ht="10.5" customHeight="1"/>
    <row r="1036743" ht="10.5" customHeight="1"/>
    <row r="1036744" ht="10.5" customHeight="1"/>
    <row r="1036745" ht="10.5" customHeight="1"/>
    <row r="1036746" ht="10.5" customHeight="1"/>
    <row r="1036747" ht="10.5" customHeight="1"/>
    <row r="1036748" ht="10.5" customHeight="1"/>
    <row r="1036749" ht="10.5" customHeight="1"/>
    <row r="1036750" ht="10.5" customHeight="1"/>
    <row r="1036751" ht="10.5" customHeight="1"/>
    <row r="1036752" ht="10.5" customHeight="1"/>
    <row r="1036753" ht="10.5" customHeight="1"/>
    <row r="1036754" ht="10.5" customHeight="1"/>
    <row r="1036755" ht="10.5" customHeight="1"/>
    <row r="1036756" ht="10.5" customHeight="1"/>
    <row r="1036757" ht="10.5" customHeight="1"/>
    <row r="1036758" ht="10.5" customHeight="1"/>
    <row r="1036759" ht="10.5" customHeight="1"/>
    <row r="1036760" ht="10.5" customHeight="1"/>
    <row r="1036761" ht="10.5" customHeight="1"/>
    <row r="1036762" ht="10.5" customHeight="1"/>
    <row r="1036763" ht="10.5" customHeight="1"/>
    <row r="1036764" ht="10.5" customHeight="1"/>
    <row r="1036765" ht="10.5" customHeight="1"/>
    <row r="1036766" ht="10.5" customHeight="1"/>
    <row r="1036767" ht="10.5" customHeight="1"/>
    <row r="1036768" ht="10.5" customHeight="1"/>
    <row r="1036769" ht="10.5" customHeight="1"/>
    <row r="1036770" ht="10.5" customHeight="1"/>
    <row r="1036771" ht="10.5" customHeight="1"/>
    <row r="1036772" ht="10.5" customHeight="1"/>
    <row r="1036773" ht="10.5" customHeight="1"/>
    <row r="1036774" ht="10.5" customHeight="1"/>
    <row r="1036775" ht="10.5" customHeight="1"/>
    <row r="1036776" ht="10.5" customHeight="1"/>
    <row r="1036777" ht="10.5" customHeight="1"/>
    <row r="1036778" ht="10.5" customHeight="1"/>
    <row r="1036779" ht="10.5" customHeight="1"/>
    <row r="1036780" ht="10.5" customHeight="1"/>
    <row r="1036781" ht="10.5" customHeight="1"/>
    <row r="1036782" ht="10.5" customHeight="1"/>
    <row r="1036783" ht="10.5" customHeight="1"/>
    <row r="1036784" ht="10.5" customHeight="1"/>
    <row r="1036785" ht="10.5" customHeight="1"/>
    <row r="1036786" ht="10.5" customHeight="1"/>
    <row r="1036787" ht="10.5" customHeight="1"/>
    <row r="1036788" ht="10.5" customHeight="1"/>
    <row r="1036789" ht="10.5" customHeight="1"/>
    <row r="1036790" ht="10.5" customHeight="1"/>
    <row r="1036791" ht="10.5" customHeight="1"/>
    <row r="1036792" ht="10.5" customHeight="1"/>
    <row r="1036793" ht="10.5" customHeight="1"/>
    <row r="1036794" ht="10.5" customHeight="1"/>
    <row r="1036795" ht="10.5" customHeight="1"/>
    <row r="1036796" ht="10.5" customHeight="1"/>
    <row r="1036797" ht="10.5" customHeight="1"/>
    <row r="1036798" ht="10.5" customHeight="1"/>
    <row r="1036799" ht="10.5" customHeight="1"/>
    <row r="1036800" ht="10.5" customHeight="1"/>
    <row r="1036801" ht="10.5" customHeight="1"/>
    <row r="1036802" ht="10.5" customHeight="1"/>
    <row r="1036803" ht="10.5" customHeight="1"/>
    <row r="1036804" ht="10.5" customHeight="1"/>
    <row r="1036805" ht="10.5" customHeight="1"/>
    <row r="1036806" ht="10.5" customHeight="1"/>
    <row r="1036807" ht="10.5" customHeight="1"/>
    <row r="1036808" ht="10.5" customHeight="1"/>
    <row r="1036809" ht="10.5" customHeight="1"/>
    <row r="1036810" ht="10.5" customHeight="1"/>
    <row r="1036811" ht="10.5" customHeight="1"/>
    <row r="1036812" ht="10.5" customHeight="1"/>
    <row r="1036813" ht="10.5" customHeight="1"/>
    <row r="1036814" ht="10.5" customHeight="1"/>
    <row r="1036815" ht="10.5" customHeight="1"/>
    <row r="1036816" ht="10.5" customHeight="1"/>
    <row r="1036817" ht="10.5" customHeight="1"/>
    <row r="1036818" ht="10.5" customHeight="1"/>
    <row r="1036819" ht="10.5" customHeight="1"/>
    <row r="1036820" ht="10.5" customHeight="1"/>
    <row r="1036821" ht="10.5" customHeight="1"/>
    <row r="1036822" ht="10.5" customHeight="1"/>
    <row r="1036823" ht="10.5" customHeight="1"/>
    <row r="1036824" ht="10.5" customHeight="1"/>
    <row r="1036825" ht="10.5" customHeight="1"/>
    <row r="1036826" ht="10.5" customHeight="1"/>
    <row r="1036827" ht="10.5" customHeight="1"/>
    <row r="1036828" ht="10.5" customHeight="1"/>
    <row r="1036829" ht="10.5" customHeight="1"/>
    <row r="1036830" ht="10.5" customHeight="1"/>
    <row r="1036831" ht="10.5" customHeight="1"/>
    <row r="1036832" ht="10.5" customHeight="1"/>
    <row r="1036833" ht="10.5" customHeight="1"/>
    <row r="1036834" ht="10.5" customHeight="1"/>
    <row r="1036835" ht="10.5" customHeight="1"/>
    <row r="1036836" ht="10.5" customHeight="1"/>
    <row r="1036837" ht="10.5" customHeight="1"/>
    <row r="1036838" ht="10.5" customHeight="1"/>
    <row r="1036839" ht="10.5" customHeight="1"/>
    <row r="1036840" ht="10.5" customHeight="1"/>
    <row r="1036841" ht="10.5" customHeight="1"/>
    <row r="1036842" ht="10.5" customHeight="1"/>
    <row r="1036843" ht="10.5" customHeight="1"/>
    <row r="1036844" ht="10.5" customHeight="1"/>
    <row r="1036845" ht="10.5" customHeight="1"/>
    <row r="1036846" ht="10.5" customHeight="1"/>
    <row r="1036847" ht="10.5" customHeight="1"/>
    <row r="1036848" ht="10.5" customHeight="1"/>
    <row r="1036849" ht="10.5" customHeight="1"/>
    <row r="1036850" ht="10.5" customHeight="1"/>
    <row r="1036851" ht="10.5" customHeight="1"/>
    <row r="1036852" ht="10.5" customHeight="1"/>
    <row r="1036853" ht="10.5" customHeight="1"/>
    <row r="1036854" ht="10.5" customHeight="1"/>
    <row r="1036855" ht="10.5" customHeight="1"/>
    <row r="1036856" ht="10.5" customHeight="1"/>
    <row r="1036857" ht="10.5" customHeight="1"/>
    <row r="1036858" ht="10.5" customHeight="1"/>
    <row r="1036859" ht="10.5" customHeight="1"/>
    <row r="1036860" ht="10.5" customHeight="1"/>
    <row r="1036861" ht="10.5" customHeight="1"/>
    <row r="1036862" ht="10.5" customHeight="1"/>
    <row r="1036863" ht="10.5" customHeight="1"/>
    <row r="1036864" ht="10.5" customHeight="1"/>
    <row r="1036865" ht="10.5" customHeight="1"/>
    <row r="1036866" ht="10.5" customHeight="1"/>
    <row r="1036867" ht="10.5" customHeight="1"/>
    <row r="1036868" ht="10.5" customHeight="1"/>
    <row r="1036869" ht="10.5" customHeight="1"/>
    <row r="1036870" ht="10.5" customHeight="1"/>
    <row r="1036871" ht="10.5" customHeight="1"/>
    <row r="1036872" ht="10.5" customHeight="1"/>
    <row r="1036873" ht="10.5" customHeight="1"/>
    <row r="1036874" ht="10.5" customHeight="1"/>
    <row r="1036875" ht="10.5" customHeight="1"/>
    <row r="1036876" ht="10.5" customHeight="1"/>
    <row r="1036877" ht="10.5" customHeight="1"/>
    <row r="1036878" ht="10.5" customHeight="1"/>
    <row r="1036879" ht="10.5" customHeight="1"/>
    <row r="1036880" ht="10.5" customHeight="1"/>
    <row r="1036881" ht="10.5" customHeight="1"/>
    <row r="1036882" ht="10.5" customHeight="1"/>
    <row r="1036883" ht="10.5" customHeight="1"/>
    <row r="1036884" ht="10.5" customHeight="1"/>
    <row r="1036885" ht="10.5" customHeight="1"/>
    <row r="1036886" ht="10.5" customHeight="1"/>
    <row r="1036887" ht="10.5" customHeight="1"/>
    <row r="1036888" ht="10.5" customHeight="1"/>
    <row r="1036889" ht="10.5" customHeight="1"/>
    <row r="1036890" ht="10.5" customHeight="1"/>
    <row r="1036891" ht="10.5" customHeight="1"/>
    <row r="1036892" ht="10.5" customHeight="1"/>
    <row r="1036893" ht="10.5" customHeight="1"/>
    <row r="1036894" ht="10.5" customHeight="1"/>
    <row r="1036895" ht="10.5" customHeight="1"/>
    <row r="1036896" ht="10.5" customHeight="1"/>
    <row r="1036897" ht="10.5" customHeight="1"/>
    <row r="1036898" ht="10.5" customHeight="1"/>
    <row r="1036899" ht="10.5" customHeight="1"/>
    <row r="1036900" ht="10.5" customHeight="1"/>
    <row r="1036901" ht="10.5" customHeight="1"/>
    <row r="1036902" ht="10.5" customHeight="1"/>
    <row r="1036903" ht="10.5" customHeight="1"/>
    <row r="1036904" ht="10.5" customHeight="1"/>
    <row r="1036905" ht="10.5" customHeight="1"/>
    <row r="1036906" ht="10.5" customHeight="1"/>
    <row r="1036907" ht="10.5" customHeight="1"/>
    <row r="1036908" ht="10.5" customHeight="1"/>
    <row r="1036909" ht="10.5" customHeight="1"/>
    <row r="1036910" ht="10.5" customHeight="1"/>
    <row r="1036911" ht="10.5" customHeight="1"/>
    <row r="1036912" ht="10.5" customHeight="1"/>
    <row r="1036913" ht="10.5" customHeight="1"/>
    <row r="1036914" ht="10.5" customHeight="1"/>
    <row r="1036915" ht="10.5" customHeight="1"/>
    <row r="1036916" ht="10.5" customHeight="1"/>
    <row r="1036917" ht="10.5" customHeight="1"/>
    <row r="1036918" ht="10.5" customHeight="1"/>
    <row r="1036919" ht="10.5" customHeight="1"/>
    <row r="1036920" ht="10.5" customHeight="1"/>
    <row r="1036921" ht="10.5" customHeight="1"/>
    <row r="1036922" ht="10.5" customHeight="1"/>
    <row r="1036923" ht="10.5" customHeight="1"/>
    <row r="1036924" ht="10.5" customHeight="1"/>
    <row r="1036925" ht="10.5" customHeight="1"/>
    <row r="1036926" ht="10.5" customHeight="1"/>
    <row r="1036927" ht="10.5" customHeight="1"/>
    <row r="1036928" ht="10.5" customHeight="1"/>
    <row r="1036929" ht="10.5" customHeight="1"/>
    <row r="1036930" ht="10.5" customHeight="1"/>
    <row r="1036931" ht="10.5" customHeight="1"/>
    <row r="1036932" ht="10.5" customHeight="1"/>
    <row r="1036933" ht="10.5" customHeight="1"/>
    <row r="1036934" ht="10.5" customHeight="1"/>
    <row r="1036935" ht="10.5" customHeight="1"/>
    <row r="1036936" ht="10.5" customHeight="1"/>
    <row r="1036937" ht="10.5" customHeight="1"/>
    <row r="1036938" ht="10.5" customHeight="1"/>
    <row r="1036939" ht="10.5" customHeight="1"/>
    <row r="1036940" ht="10.5" customHeight="1"/>
    <row r="1036941" ht="10.5" customHeight="1"/>
    <row r="1036942" ht="10.5" customHeight="1"/>
    <row r="1036943" ht="10.5" customHeight="1"/>
    <row r="1036944" ht="10.5" customHeight="1"/>
    <row r="1036945" ht="10.5" customHeight="1"/>
    <row r="1036946" ht="10.5" customHeight="1"/>
    <row r="1036947" ht="10.5" customHeight="1"/>
    <row r="1036948" ht="10.5" customHeight="1"/>
    <row r="1036949" ht="10.5" customHeight="1"/>
    <row r="1036950" ht="10.5" customHeight="1"/>
    <row r="1036951" ht="10.5" customHeight="1"/>
    <row r="1036952" ht="10.5" customHeight="1"/>
    <row r="1036953" ht="10.5" customHeight="1"/>
    <row r="1036954" ht="10.5" customHeight="1"/>
    <row r="1036955" ht="10.5" customHeight="1"/>
    <row r="1036956" ht="10.5" customHeight="1"/>
    <row r="1036957" ht="10.5" customHeight="1"/>
    <row r="1036958" ht="10.5" customHeight="1"/>
    <row r="1036959" ht="10.5" customHeight="1"/>
    <row r="1036960" ht="10.5" customHeight="1"/>
    <row r="1036961" ht="10.5" customHeight="1"/>
    <row r="1036962" ht="10.5" customHeight="1"/>
    <row r="1036963" ht="10.5" customHeight="1"/>
    <row r="1036964" ht="10.5" customHeight="1"/>
    <row r="1036965" ht="10.5" customHeight="1"/>
    <row r="1036966" ht="10.5" customHeight="1"/>
    <row r="1036967" ht="10.5" customHeight="1"/>
    <row r="1036968" ht="10.5" customHeight="1"/>
    <row r="1036969" ht="10.5" customHeight="1"/>
    <row r="1036970" ht="10.5" customHeight="1"/>
    <row r="1036971" ht="10.5" customHeight="1"/>
    <row r="1036972" ht="10.5" customHeight="1"/>
    <row r="1036973" ht="10.5" customHeight="1"/>
    <row r="1036974" ht="10.5" customHeight="1"/>
    <row r="1036975" ht="10.5" customHeight="1"/>
    <row r="1036976" ht="10.5" customHeight="1"/>
    <row r="1036977" ht="10.5" customHeight="1"/>
    <row r="1036978" ht="10.5" customHeight="1"/>
    <row r="1036979" ht="10.5" customHeight="1"/>
    <row r="1036980" ht="10.5" customHeight="1"/>
    <row r="1036981" ht="10.5" customHeight="1"/>
    <row r="1036982" ht="10.5" customHeight="1"/>
    <row r="1036983" ht="10.5" customHeight="1"/>
    <row r="1036984" ht="10.5" customHeight="1"/>
    <row r="1036985" ht="10.5" customHeight="1"/>
    <row r="1036986" ht="10.5" customHeight="1"/>
    <row r="1036987" ht="10.5" customHeight="1"/>
    <row r="1036988" ht="10.5" customHeight="1"/>
    <row r="1036989" ht="10.5" customHeight="1"/>
    <row r="1036990" ht="10.5" customHeight="1"/>
    <row r="1036991" ht="10.5" customHeight="1"/>
    <row r="1036992" ht="10.5" customHeight="1"/>
    <row r="1036993" ht="10.5" customHeight="1"/>
    <row r="1036994" ht="10.5" customHeight="1"/>
    <row r="1036995" ht="10.5" customHeight="1"/>
    <row r="1036996" ht="10.5" customHeight="1"/>
    <row r="1036997" ht="10.5" customHeight="1"/>
    <row r="1036998" ht="10.5" customHeight="1"/>
    <row r="1036999" ht="10.5" customHeight="1"/>
    <row r="1037000" ht="10.5" customHeight="1"/>
    <row r="1037001" ht="10.5" customHeight="1"/>
    <row r="1037002" ht="10.5" customHeight="1"/>
    <row r="1037003" ht="10.5" customHeight="1"/>
    <row r="1037004" ht="10.5" customHeight="1"/>
    <row r="1037005" ht="10.5" customHeight="1"/>
    <row r="1037006" ht="10.5" customHeight="1"/>
    <row r="1037007" ht="10.5" customHeight="1"/>
    <row r="1037008" ht="10.5" customHeight="1"/>
    <row r="1037009" ht="10.5" customHeight="1"/>
    <row r="1037010" ht="10.5" customHeight="1"/>
    <row r="1037011" ht="10.5" customHeight="1"/>
    <row r="1037012" ht="10.5" customHeight="1"/>
    <row r="1037013" ht="10.5" customHeight="1"/>
    <row r="1037014" ht="10.5" customHeight="1"/>
    <row r="1037015" ht="10.5" customHeight="1"/>
    <row r="1037016" ht="10.5" customHeight="1"/>
    <row r="1037017" ht="10.5" customHeight="1"/>
    <row r="1037018" ht="10.5" customHeight="1"/>
    <row r="1037019" ht="10.5" customHeight="1"/>
    <row r="1037020" ht="10.5" customHeight="1"/>
    <row r="1037021" ht="10.5" customHeight="1"/>
    <row r="1037022" ht="10.5" customHeight="1"/>
    <row r="1037023" ht="10.5" customHeight="1"/>
    <row r="1037024" ht="10.5" customHeight="1"/>
    <row r="1037025" ht="10.5" customHeight="1"/>
    <row r="1037026" ht="10.5" customHeight="1"/>
    <row r="1037027" ht="10.5" customHeight="1"/>
    <row r="1037028" ht="10.5" customHeight="1"/>
    <row r="1037029" ht="10.5" customHeight="1"/>
    <row r="1037030" ht="10.5" customHeight="1"/>
    <row r="1037031" ht="10.5" customHeight="1"/>
    <row r="1037032" ht="10.5" customHeight="1"/>
    <row r="1037033" ht="10.5" customHeight="1"/>
    <row r="1037034" ht="10.5" customHeight="1"/>
    <row r="1037035" ht="10.5" customHeight="1"/>
    <row r="1037036" ht="10.5" customHeight="1"/>
    <row r="1037037" ht="10.5" customHeight="1"/>
    <row r="1037038" ht="10.5" customHeight="1"/>
    <row r="1037039" ht="10.5" customHeight="1"/>
    <row r="1037040" ht="10.5" customHeight="1"/>
    <row r="1037041" ht="10.5" customHeight="1"/>
    <row r="1037042" ht="10.5" customHeight="1"/>
    <row r="1037043" ht="10.5" customHeight="1"/>
    <row r="1037044" ht="10.5" customHeight="1"/>
    <row r="1037045" ht="10.5" customHeight="1"/>
    <row r="1037046" ht="10.5" customHeight="1"/>
    <row r="1037047" ht="10.5" customHeight="1"/>
    <row r="1037048" ht="10.5" customHeight="1"/>
    <row r="1037049" ht="10.5" customHeight="1"/>
    <row r="1037050" ht="10.5" customHeight="1"/>
    <row r="1037051" ht="10.5" customHeight="1"/>
    <row r="1037052" ht="10.5" customHeight="1"/>
    <row r="1037053" ht="10.5" customHeight="1"/>
    <row r="1037054" ht="10.5" customHeight="1"/>
    <row r="1037055" ht="10.5" customHeight="1"/>
    <row r="1037056" ht="10.5" customHeight="1"/>
    <row r="1037057" ht="10.5" customHeight="1"/>
    <row r="1037058" ht="10.5" customHeight="1"/>
    <row r="1037059" ht="10.5" customHeight="1"/>
    <row r="1037060" ht="10.5" customHeight="1"/>
    <row r="1037061" ht="10.5" customHeight="1"/>
    <row r="1037062" ht="10.5" customHeight="1"/>
    <row r="1037063" ht="10.5" customHeight="1"/>
    <row r="1037064" ht="10.5" customHeight="1"/>
    <row r="1037065" ht="10.5" customHeight="1"/>
    <row r="1037066" ht="10.5" customHeight="1"/>
    <row r="1037067" ht="10.5" customHeight="1"/>
    <row r="1037068" ht="10.5" customHeight="1"/>
    <row r="1037069" ht="10.5" customHeight="1"/>
    <row r="1037070" ht="10.5" customHeight="1"/>
    <row r="1037071" ht="10.5" customHeight="1"/>
    <row r="1037072" ht="10.5" customHeight="1"/>
    <row r="1037073" ht="10.5" customHeight="1"/>
    <row r="1037074" ht="10.5" customHeight="1"/>
    <row r="1037075" ht="10.5" customHeight="1"/>
    <row r="1037076" ht="10.5" customHeight="1"/>
    <row r="1037077" ht="10.5" customHeight="1"/>
    <row r="1037078" ht="10.5" customHeight="1"/>
    <row r="1037079" ht="10.5" customHeight="1"/>
    <row r="1037080" ht="10.5" customHeight="1"/>
    <row r="1037081" ht="10.5" customHeight="1"/>
    <row r="1037082" ht="10.5" customHeight="1"/>
    <row r="1037083" ht="10.5" customHeight="1"/>
    <row r="1037084" ht="10.5" customHeight="1"/>
    <row r="1037085" ht="10.5" customHeight="1"/>
    <row r="1037086" ht="10.5" customHeight="1"/>
    <row r="1037087" ht="10.5" customHeight="1"/>
    <row r="1037088" ht="10.5" customHeight="1"/>
    <row r="1037089" ht="10.5" customHeight="1"/>
    <row r="1037090" ht="10.5" customHeight="1"/>
    <row r="1037091" ht="10.5" customHeight="1"/>
    <row r="1037092" ht="10.5" customHeight="1"/>
    <row r="1037093" ht="10.5" customHeight="1"/>
    <row r="1037094" ht="10.5" customHeight="1"/>
    <row r="1037095" ht="10.5" customHeight="1"/>
    <row r="1037096" ht="10.5" customHeight="1"/>
    <row r="1037097" ht="10.5" customHeight="1"/>
    <row r="1037098" ht="10.5" customHeight="1"/>
    <row r="1037099" ht="10.5" customHeight="1"/>
    <row r="1037100" ht="10.5" customHeight="1"/>
    <row r="1037101" ht="10.5" customHeight="1"/>
    <row r="1037102" ht="10.5" customHeight="1"/>
    <row r="1037103" ht="10.5" customHeight="1"/>
    <row r="1037104" ht="10.5" customHeight="1"/>
    <row r="1037105" ht="10.5" customHeight="1"/>
    <row r="1037106" ht="10.5" customHeight="1"/>
    <row r="1037107" ht="10.5" customHeight="1"/>
    <row r="1037108" ht="10.5" customHeight="1"/>
    <row r="1037109" ht="10.5" customHeight="1"/>
    <row r="1037110" ht="10.5" customHeight="1"/>
    <row r="1037111" ht="10.5" customHeight="1"/>
    <row r="1037112" ht="10.5" customHeight="1"/>
    <row r="1037113" ht="10.5" customHeight="1"/>
    <row r="1037114" ht="10.5" customHeight="1"/>
    <row r="1037115" ht="10.5" customHeight="1"/>
    <row r="1037116" ht="10.5" customHeight="1"/>
    <row r="1037117" ht="10.5" customHeight="1"/>
    <row r="1037118" ht="10.5" customHeight="1"/>
    <row r="1037119" ht="10.5" customHeight="1"/>
    <row r="1037120" ht="10.5" customHeight="1"/>
    <row r="1037121" ht="10.5" customHeight="1"/>
    <row r="1037122" ht="10.5" customHeight="1"/>
    <row r="1037123" ht="10.5" customHeight="1"/>
    <row r="1037124" ht="10.5" customHeight="1"/>
    <row r="1037125" ht="10.5" customHeight="1"/>
    <row r="1037126" ht="10.5" customHeight="1"/>
    <row r="1037127" ht="10.5" customHeight="1"/>
    <row r="1037128" ht="10.5" customHeight="1"/>
    <row r="1037129" ht="10.5" customHeight="1"/>
    <row r="1037130" ht="10.5" customHeight="1"/>
    <row r="1037131" ht="10.5" customHeight="1"/>
    <row r="1037132" ht="10.5" customHeight="1"/>
    <row r="1037133" ht="10.5" customHeight="1"/>
    <row r="1037134" ht="10.5" customHeight="1"/>
    <row r="1037135" ht="10.5" customHeight="1"/>
    <row r="1037136" ht="10.5" customHeight="1"/>
    <row r="1037137" ht="10.5" customHeight="1"/>
    <row r="1037138" ht="10.5" customHeight="1"/>
    <row r="1037139" ht="10.5" customHeight="1"/>
    <row r="1037140" ht="10.5" customHeight="1"/>
    <row r="1037141" ht="10.5" customHeight="1"/>
    <row r="1037142" ht="10.5" customHeight="1"/>
    <row r="1037143" ht="10.5" customHeight="1"/>
    <row r="1037144" ht="10.5" customHeight="1"/>
    <row r="1037145" ht="10.5" customHeight="1"/>
    <row r="1037146" ht="10.5" customHeight="1"/>
    <row r="1037147" ht="10.5" customHeight="1"/>
    <row r="1037148" ht="10.5" customHeight="1"/>
    <row r="1037149" ht="10.5" customHeight="1"/>
    <row r="1037150" ht="10.5" customHeight="1"/>
    <row r="1037151" ht="10.5" customHeight="1"/>
    <row r="1037152" ht="10.5" customHeight="1"/>
    <row r="1037153" ht="10.5" customHeight="1"/>
    <row r="1037154" ht="10.5" customHeight="1"/>
    <row r="1037155" ht="10.5" customHeight="1"/>
    <row r="1037156" ht="10.5" customHeight="1"/>
    <row r="1037157" ht="10.5" customHeight="1"/>
    <row r="1037158" ht="10.5" customHeight="1"/>
    <row r="1037159" ht="10.5" customHeight="1"/>
    <row r="1037160" ht="10.5" customHeight="1"/>
    <row r="1037161" ht="10.5" customHeight="1"/>
    <row r="1037162" ht="10.5" customHeight="1"/>
    <row r="1037163" ht="10.5" customHeight="1"/>
    <row r="1037164" ht="10.5" customHeight="1"/>
    <row r="1037165" ht="10.5" customHeight="1"/>
    <row r="1037166" ht="10.5" customHeight="1"/>
    <row r="1037167" ht="10.5" customHeight="1"/>
    <row r="1037168" ht="10.5" customHeight="1"/>
    <row r="1037169" ht="10.5" customHeight="1"/>
    <row r="1037170" ht="10.5" customHeight="1"/>
    <row r="1037171" ht="10.5" customHeight="1"/>
    <row r="1037172" ht="10.5" customHeight="1"/>
    <row r="1037173" ht="10.5" customHeight="1"/>
    <row r="1037174" ht="10.5" customHeight="1"/>
    <row r="1037175" ht="10.5" customHeight="1"/>
    <row r="1037176" ht="10.5" customHeight="1"/>
    <row r="1037177" ht="10.5" customHeight="1"/>
    <row r="1037178" ht="10.5" customHeight="1"/>
    <row r="1037179" ht="10.5" customHeight="1"/>
    <row r="1037180" ht="10.5" customHeight="1"/>
    <row r="1037181" ht="10.5" customHeight="1"/>
    <row r="1037182" ht="10.5" customHeight="1"/>
    <row r="1037183" ht="10.5" customHeight="1"/>
    <row r="1037184" ht="10.5" customHeight="1"/>
    <row r="1037185" ht="10.5" customHeight="1"/>
    <row r="1037186" ht="10.5" customHeight="1"/>
    <row r="1037187" ht="10.5" customHeight="1"/>
    <row r="1037188" ht="10.5" customHeight="1"/>
    <row r="1037189" ht="10.5" customHeight="1"/>
    <row r="1037190" ht="10.5" customHeight="1"/>
    <row r="1037191" ht="10.5" customHeight="1"/>
    <row r="1037192" ht="10.5" customHeight="1"/>
    <row r="1037193" ht="10.5" customHeight="1"/>
    <row r="1037194" ht="10.5" customHeight="1"/>
    <row r="1037195" ht="10.5" customHeight="1"/>
    <row r="1037196" ht="10.5" customHeight="1"/>
    <row r="1037197" ht="10.5" customHeight="1"/>
    <row r="1037198" ht="10.5" customHeight="1"/>
    <row r="1037199" ht="10.5" customHeight="1"/>
    <row r="1037200" ht="10.5" customHeight="1"/>
    <row r="1037201" ht="10.5" customHeight="1"/>
    <row r="1037202" ht="10.5" customHeight="1"/>
    <row r="1037203" ht="10.5" customHeight="1"/>
    <row r="1037204" ht="10.5" customHeight="1"/>
    <row r="1037205" ht="10.5" customHeight="1"/>
    <row r="1037206" ht="10.5" customHeight="1"/>
    <row r="1037207" ht="10.5" customHeight="1"/>
    <row r="1037208" ht="10.5" customHeight="1"/>
    <row r="1037209" ht="10.5" customHeight="1"/>
    <row r="1037210" ht="10.5" customHeight="1"/>
    <row r="1037211" ht="10.5" customHeight="1"/>
    <row r="1037212" ht="10.5" customHeight="1"/>
    <row r="1037213" ht="10.5" customHeight="1"/>
    <row r="1037214" ht="10.5" customHeight="1"/>
    <row r="1037215" ht="10.5" customHeight="1"/>
    <row r="1037216" ht="10.5" customHeight="1"/>
    <row r="1037217" ht="10.5" customHeight="1"/>
    <row r="1037218" ht="10.5" customHeight="1"/>
    <row r="1037219" ht="10.5" customHeight="1"/>
    <row r="1037220" ht="10.5" customHeight="1"/>
    <row r="1037221" ht="10.5" customHeight="1"/>
    <row r="1037222" ht="10.5" customHeight="1"/>
    <row r="1037223" ht="10.5" customHeight="1"/>
    <row r="1037224" ht="10.5" customHeight="1"/>
    <row r="1037225" ht="10.5" customHeight="1"/>
    <row r="1037226" ht="10.5" customHeight="1"/>
    <row r="1037227" ht="10.5" customHeight="1"/>
    <row r="1037228" ht="10.5" customHeight="1"/>
    <row r="1037229" ht="10.5" customHeight="1"/>
    <row r="1037230" ht="10.5" customHeight="1"/>
    <row r="1037231" ht="10.5" customHeight="1"/>
    <row r="1037232" ht="10.5" customHeight="1"/>
    <row r="1037233" ht="10.5" customHeight="1"/>
    <row r="1037234" ht="10.5" customHeight="1"/>
    <row r="1037235" ht="10.5" customHeight="1"/>
    <row r="1037236" ht="10.5" customHeight="1"/>
    <row r="1037237" ht="10.5" customHeight="1"/>
    <row r="1037238" ht="10.5" customHeight="1"/>
    <row r="1037239" ht="10.5" customHeight="1"/>
    <row r="1037240" ht="10.5" customHeight="1"/>
    <row r="1037241" ht="10.5" customHeight="1"/>
    <row r="1037242" ht="10.5" customHeight="1"/>
    <row r="1037243" ht="10.5" customHeight="1"/>
    <row r="1037244" ht="10.5" customHeight="1"/>
    <row r="1037245" ht="10.5" customHeight="1"/>
    <row r="1037246" ht="10.5" customHeight="1"/>
    <row r="1037247" ht="10.5" customHeight="1"/>
    <row r="1037248" ht="10.5" customHeight="1"/>
    <row r="1037249" ht="10.5" customHeight="1"/>
    <row r="1037250" ht="10.5" customHeight="1"/>
    <row r="1037251" ht="10.5" customHeight="1"/>
    <row r="1037252" ht="10.5" customHeight="1"/>
    <row r="1037253" ht="10.5" customHeight="1"/>
    <row r="1037254" ht="10.5" customHeight="1"/>
    <row r="1037255" ht="10.5" customHeight="1"/>
    <row r="1037256" ht="10.5" customHeight="1"/>
    <row r="1037257" ht="10.5" customHeight="1"/>
    <row r="1037258" ht="10.5" customHeight="1"/>
    <row r="1037259" ht="10.5" customHeight="1"/>
    <row r="1037260" ht="10.5" customHeight="1"/>
    <row r="1037261" ht="10.5" customHeight="1"/>
    <row r="1037262" ht="10.5" customHeight="1"/>
    <row r="1037263" ht="10.5" customHeight="1"/>
    <row r="1037264" ht="10.5" customHeight="1"/>
    <row r="1037265" ht="10.5" customHeight="1"/>
    <row r="1037266" ht="10.5" customHeight="1"/>
    <row r="1037267" ht="10.5" customHeight="1"/>
    <row r="1037268" ht="10.5" customHeight="1"/>
    <row r="1037269" ht="10.5" customHeight="1"/>
    <row r="1037270" ht="10.5" customHeight="1"/>
    <row r="1037271" ht="10.5" customHeight="1"/>
    <row r="1037272" ht="10.5" customHeight="1"/>
    <row r="1037273" ht="10.5" customHeight="1"/>
    <row r="1037274" ht="10.5" customHeight="1"/>
    <row r="1037275" ht="10.5" customHeight="1"/>
    <row r="1037276" ht="10.5" customHeight="1"/>
    <row r="1037277" ht="10.5" customHeight="1"/>
    <row r="1037278" ht="10.5" customHeight="1"/>
    <row r="1037279" ht="10.5" customHeight="1"/>
    <row r="1037280" ht="10.5" customHeight="1"/>
    <row r="1037281" ht="10.5" customHeight="1"/>
    <row r="1037282" ht="10.5" customHeight="1"/>
    <row r="1037283" ht="10.5" customHeight="1"/>
    <row r="1037284" ht="10.5" customHeight="1"/>
    <row r="1037285" ht="10.5" customHeight="1"/>
    <row r="1037286" ht="10.5" customHeight="1"/>
    <row r="1037287" ht="10.5" customHeight="1"/>
    <row r="1037288" ht="10.5" customHeight="1"/>
    <row r="1037289" ht="10.5" customHeight="1"/>
    <row r="1037290" ht="10.5" customHeight="1"/>
    <row r="1037291" ht="10.5" customHeight="1"/>
    <row r="1037292" ht="10.5" customHeight="1"/>
    <row r="1037293" ht="10.5" customHeight="1"/>
    <row r="1037294" ht="10.5" customHeight="1"/>
    <row r="1037295" ht="10.5" customHeight="1"/>
    <row r="1037296" ht="10.5" customHeight="1"/>
    <row r="1037297" ht="10.5" customHeight="1"/>
    <row r="1037298" ht="10.5" customHeight="1"/>
    <row r="1037299" ht="10.5" customHeight="1"/>
    <row r="1037300" ht="10.5" customHeight="1"/>
    <row r="1037301" ht="10.5" customHeight="1"/>
    <row r="1037302" ht="10.5" customHeight="1"/>
    <row r="1037303" ht="10.5" customHeight="1"/>
    <row r="1037304" ht="10.5" customHeight="1"/>
    <row r="1037305" ht="10.5" customHeight="1"/>
    <row r="1037306" ht="10.5" customHeight="1"/>
    <row r="1037307" ht="10.5" customHeight="1"/>
    <row r="1037308" ht="10.5" customHeight="1"/>
    <row r="1037309" ht="10.5" customHeight="1"/>
    <row r="1037310" ht="10.5" customHeight="1"/>
    <row r="1037311" ht="10.5" customHeight="1"/>
    <row r="1037312" ht="10.5" customHeight="1"/>
    <row r="1037313" ht="10.5" customHeight="1"/>
    <row r="1037314" ht="10.5" customHeight="1"/>
    <row r="1037315" ht="10.5" customHeight="1"/>
    <row r="1037316" ht="10.5" customHeight="1"/>
    <row r="1037317" ht="10.5" customHeight="1"/>
    <row r="1037318" ht="10.5" customHeight="1"/>
    <row r="1037319" ht="10.5" customHeight="1"/>
    <row r="1037320" ht="10.5" customHeight="1"/>
    <row r="1037321" ht="10.5" customHeight="1"/>
    <row r="1037322" ht="10.5" customHeight="1"/>
    <row r="1037323" ht="10.5" customHeight="1"/>
    <row r="1037324" ht="10.5" customHeight="1"/>
    <row r="1037325" ht="10.5" customHeight="1"/>
    <row r="1037326" ht="10.5" customHeight="1"/>
    <row r="1037327" ht="10.5" customHeight="1"/>
    <row r="1037328" ht="10.5" customHeight="1"/>
    <row r="1037329" ht="10.5" customHeight="1"/>
    <row r="1037330" ht="10.5" customHeight="1"/>
    <row r="1037331" ht="10.5" customHeight="1"/>
    <row r="1037332" ht="10.5" customHeight="1"/>
    <row r="1037333" ht="10.5" customHeight="1"/>
    <row r="1037334" ht="10.5" customHeight="1"/>
    <row r="1037335" ht="10.5" customHeight="1"/>
    <row r="1037336" ht="10.5" customHeight="1"/>
    <row r="1037337" ht="10.5" customHeight="1"/>
    <row r="1037338" ht="10.5" customHeight="1"/>
    <row r="1037339" ht="10.5" customHeight="1"/>
    <row r="1037340" ht="10.5" customHeight="1"/>
    <row r="1037341" ht="10.5" customHeight="1"/>
    <row r="1037342" ht="10.5" customHeight="1"/>
    <row r="1037343" ht="10.5" customHeight="1"/>
    <row r="1037344" ht="10.5" customHeight="1"/>
    <row r="1037345" ht="10.5" customHeight="1"/>
    <row r="1037346" ht="10.5" customHeight="1"/>
    <row r="1037347" ht="10.5" customHeight="1"/>
    <row r="1037348" ht="10.5" customHeight="1"/>
    <row r="1037349" ht="10.5" customHeight="1"/>
    <row r="1037350" ht="10.5" customHeight="1"/>
    <row r="1037351" ht="10.5" customHeight="1"/>
    <row r="1037352" ht="10.5" customHeight="1"/>
    <row r="1037353" ht="10.5" customHeight="1"/>
    <row r="1037354" ht="10.5" customHeight="1"/>
    <row r="1037355" ht="10.5" customHeight="1"/>
    <row r="1037356" ht="10.5" customHeight="1"/>
    <row r="1037357" ht="10.5" customHeight="1"/>
    <row r="1037358" ht="10.5" customHeight="1"/>
    <row r="1037359" ht="10.5" customHeight="1"/>
    <row r="1037360" ht="10.5" customHeight="1"/>
    <row r="1037361" ht="10.5" customHeight="1"/>
    <row r="1037362" ht="10.5" customHeight="1"/>
    <row r="1037363" ht="10.5" customHeight="1"/>
    <row r="1037364" ht="10.5" customHeight="1"/>
    <row r="1037365" ht="10.5" customHeight="1"/>
    <row r="1037366" ht="10.5" customHeight="1"/>
    <row r="1037367" ht="10.5" customHeight="1"/>
    <row r="1037368" ht="10.5" customHeight="1"/>
    <row r="1037369" ht="10.5" customHeight="1"/>
    <row r="1037370" ht="10.5" customHeight="1"/>
    <row r="1037371" ht="10.5" customHeight="1"/>
    <row r="1037372" ht="10.5" customHeight="1"/>
    <row r="1037373" ht="10.5" customHeight="1"/>
    <row r="1037374" ht="10.5" customHeight="1"/>
    <row r="1037375" ht="10.5" customHeight="1"/>
    <row r="1037376" ht="10.5" customHeight="1"/>
    <row r="1037377" ht="10.5" customHeight="1"/>
    <row r="1037378" ht="10.5" customHeight="1"/>
    <row r="1037379" ht="10.5" customHeight="1"/>
    <row r="1037380" ht="10.5" customHeight="1"/>
    <row r="1037381" ht="10.5" customHeight="1"/>
    <row r="1037382" ht="10.5" customHeight="1"/>
    <row r="1037383" ht="10.5" customHeight="1"/>
    <row r="1037384" ht="10.5" customHeight="1"/>
    <row r="1037385" ht="10.5" customHeight="1"/>
    <row r="1037386" ht="10.5" customHeight="1"/>
    <row r="1037387" ht="10.5" customHeight="1"/>
    <row r="1037388" ht="10.5" customHeight="1"/>
    <row r="1037389" ht="10.5" customHeight="1"/>
    <row r="1037390" ht="10.5" customHeight="1"/>
    <row r="1037391" ht="10.5" customHeight="1"/>
    <row r="1037392" ht="10.5" customHeight="1"/>
    <row r="1037393" ht="10.5" customHeight="1"/>
    <row r="1037394" ht="10.5" customHeight="1"/>
    <row r="1037395" ht="10.5" customHeight="1"/>
    <row r="1037396" ht="10.5" customHeight="1"/>
    <row r="1037397" ht="10.5" customHeight="1"/>
    <row r="1037398" ht="10.5" customHeight="1"/>
    <row r="1037399" ht="10.5" customHeight="1"/>
    <row r="1037400" ht="10.5" customHeight="1"/>
    <row r="1037401" ht="10.5" customHeight="1"/>
    <row r="1037402" ht="10.5" customHeight="1"/>
    <row r="1037403" ht="10.5" customHeight="1"/>
    <row r="1037404" ht="10.5" customHeight="1"/>
    <row r="1037405" ht="10.5" customHeight="1"/>
    <row r="1037406" ht="10.5" customHeight="1"/>
    <row r="1037407" ht="10.5" customHeight="1"/>
    <row r="1037408" ht="10.5" customHeight="1"/>
    <row r="1037409" ht="10.5" customHeight="1"/>
    <row r="1037410" ht="10.5" customHeight="1"/>
    <row r="1037411" ht="10.5" customHeight="1"/>
    <row r="1037412" ht="10.5" customHeight="1"/>
    <row r="1037413" ht="10.5" customHeight="1"/>
    <row r="1037414" ht="10.5" customHeight="1"/>
    <row r="1037415" ht="10.5" customHeight="1"/>
    <row r="1037416" ht="10.5" customHeight="1"/>
    <row r="1037417" ht="10.5" customHeight="1"/>
    <row r="1037418" ht="10.5" customHeight="1"/>
    <row r="1037419" ht="10.5" customHeight="1"/>
    <row r="1037420" ht="10.5" customHeight="1"/>
    <row r="1037421" ht="10.5" customHeight="1"/>
    <row r="1037422" ht="10.5" customHeight="1"/>
    <row r="1037423" ht="10.5" customHeight="1"/>
    <row r="1037424" ht="10.5" customHeight="1"/>
    <row r="1037425" ht="10.5" customHeight="1"/>
    <row r="1037426" ht="10.5" customHeight="1"/>
    <row r="1037427" ht="10.5" customHeight="1"/>
    <row r="1037428" ht="10.5" customHeight="1"/>
    <row r="1037429" ht="10.5" customHeight="1"/>
    <row r="1037430" ht="10.5" customHeight="1"/>
    <row r="1037431" ht="10.5" customHeight="1"/>
    <row r="1037432" ht="10.5" customHeight="1"/>
    <row r="1037433" ht="10.5" customHeight="1"/>
    <row r="1037434" ht="10.5" customHeight="1"/>
    <row r="1037435" ht="10.5" customHeight="1"/>
    <row r="1037436" ht="10.5" customHeight="1"/>
    <row r="1037437" ht="10.5" customHeight="1"/>
    <row r="1037438" ht="10.5" customHeight="1"/>
    <row r="1037439" ht="10.5" customHeight="1"/>
    <row r="1037440" ht="10.5" customHeight="1"/>
    <row r="1037441" ht="10.5" customHeight="1"/>
    <row r="1037442" ht="10.5" customHeight="1"/>
    <row r="1037443" ht="10.5" customHeight="1"/>
    <row r="1037444" ht="10.5" customHeight="1"/>
    <row r="1037445" ht="10.5" customHeight="1"/>
    <row r="1037446" ht="10.5" customHeight="1"/>
    <row r="1037447" ht="10.5" customHeight="1"/>
    <row r="1037448" ht="10.5" customHeight="1"/>
    <row r="1037449" ht="10.5" customHeight="1"/>
    <row r="1037450" ht="10.5" customHeight="1"/>
    <row r="1037451" ht="10.5" customHeight="1"/>
    <row r="1037452" ht="10.5" customHeight="1"/>
    <row r="1037453" ht="10.5" customHeight="1"/>
    <row r="1037454" ht="10.5" customHeight="1"/>
    <row r="1037455" ht="10.5" customHeight="1"/>
    <row r="1037456" ht="10.5" customHeight="1"/>
    <row r="1037457" ht="10.5" customHeight="1"/>
    <row r="1037458" ht="10.5" customHeight="1"/>
    <row r="1037459" ht="10.5" customHeight="1"/>
    <row r="1037460" ht="10.5" customHeight="1"/>
    <row r="1037461" ht="10.5" customHeight="1"/>
    <row r="1037462" ht="10.5" customHeight="1"/>
    <row r="1037463" ht="10.5" customHeight="1"/>
    <row r="1037464" ht="10.5" customHeight="1"/>
    <row r="1037465" ht="10.5" customHeight="1"/>
    <row r="1037466" ht="10.5" customHeight="1"/>
    <row r="1037467" ht="10.5" customHeight="1"/>
    <row r="1037468" ht="10.5" customHeight="1"/>
    <row r="1037469" ht="10.5" customHeight="1"/>
    <row r="1037470" ht="10.5" customHeight="1"/>
    <row r="1037471" ht="10.5" customHeight="1"/>
    <row r="1037472" ht="10.5" customHeight="1"/>
    <row r="1037473" ht="10.5" customHeight="1"/>
    <row r="1037474" ht="10.5" customHeight="1"/>
    <row r="1037475" ht="10.5" customHeight="1"/>
    <row r="1037476" ht="10.5" customHeight="1"/>
    <row r="1037477" ht="10.5" customHeight="1"/>
    <row r="1037478" ht="10.5" customHeight="1"/>
    <row r="1037479" ht="10.5" customHeight="1"/>
    <row r="1037480" ht="10.5" customHeight="1"/>
    <row r="1037481" ht="10.5" customHeight="1"/>
    <row r="1037482" ht="10.5" customHeight="1"/>
    <row r="1037483" ht="10.5" customHeight="1"/>
    <row r="1037484" ht="10.5" customHeight="1"/>
    <row r="1037485" ht="10.5" customHeight="1"/>
    <row r="1037486" ht="10.5" customHeight="1"/>
    <row r="1037487" ht="10.5" customHeight="1"/>
    <row r="1037488" ht="10.5" customHeight="1"/>
    <row r="1037489" ht="10.5" customHeight="1"/>
    <row r="1037490" ht="10.5" customHeight="1"/>
    <row r="1037491" ht="10.5" customHeight="1"/>
    <row r="1037492" ht="10.5" customHeight="1"/>
    <row r="1037493" ht="10.5" customHeight="1"/>
    <row r="1037494" ht="10.5" customHeight="1"/>
    <row r="1037495" ht="10.5" customHeight="1"/>
    <row r="1037496" ht="10.5" customHeight="1"/>
    <row r="1037497" ht="10.5" customHeight="1"/>
    <row r="1037498" ht="10.5" customHeight="1"/>
    <row r="1037499" ht="10.5" customHeight="1"/>
    <row r="1037500" ht="10.5" customHeight="1"/>
    <row r="1037501" ht="10.5" customHeight="1"/>
    <row r="1037502" ht="10.5" customHeight="1"/>
    <row r="1037503" ht="10.5" customHeight="1"/>
    <row r="1037504" ht="10.5" customHeight="1"/>
    <row r="1037505" ht="10.5" customHeight="1"/>
    <row r="1037506" ht="10.5" customHeight="1"/>
    <row r="1037507" ht="10.5" customHeight="1"/>
    <row r="1037508" ht="10.5" customHeight="1"/>
    <row r="1037509" ht="10.5" customHeight="1"/>
    <row r="1037510" ht="10.5" customHeight="1"/>
    <row r="1037511" ht="10.5" customHeight="1"/>
    <row r="1037512" ht="10.5" customHeight="1"/>
    <row r="1037513" ht="10.5" customHeight="1"/>
    <row r="1037514" ht="10.5" customHeight="1"/>
    <row r="1037515" ht="10.5" customHeight="1"/>
    <row r="1037516" ht="10.5" customHeight="1"/>
    <row r="1037517" ht="10.5" customHeight="1"/>
    <row r="1037518" ht="10.5" customHeight="1"/>
    <row r="1037519" ht="10.5" customHeight="1"/>
    <row r="1037520" ht="10.5" customHeight="1"/>
    <row r="1037521" ht="10.5" customHeight="1"/>
    <row r="1037522" ht="10.5" customHeight="1"/>
    <row r="1037523" ht="10.5" customHeight="1"/>
    <row r="1037524" ht="10.5" customHeight="1"/>
    <row r="1037525" ht="10.5" customHeight="1"/>
    <row r="1037526" ht="10.5" customHeight="1"/>
    <row r="1037527" ht="10.5" customHeight="1"/>
    <row r="1037528" ht="10.5" customHeight="1"/>
    <row r="1037529" ht="10.5" customHeight="1"/>
    <row r="1037530" ht="10.5" customHeight="1"/>
    <row r="1037531" ht="10.5" customHeight="1"/>
    <row r="1037532" ht="10.5" customHeight="1"/>
    <row r="1037533" ht="10.5" customHeight="1"/>
    <row r="1037534" ht="10.5" customHeight="1"/>
    <row r="1037535" ht="10.5" customHeight="1"/>
    <row r="1037536" ht="10.5" customHeight="1"/>
    <row r="1037537" ht="10.5" customHeight="1"/>
    <row r="1037538" ht="10.5" customHeight="1"/>
    <row r="1037539" ht="10.5" customHeight="1"/>
    <row r="1037540" ht="10.5" customHeight="1"/>
    <row r="1037541" ht="10.5" customHeight="1"/>
    <row r="1037542" ht="10.5" customHeight="1"/>
    <row r="1037543" ht="10.5" customHeight="1"/>
    <row r="1037544" ht="10.5" customHeight="1"/>
    <row r="1037545" ht="10.5" customHeight="1"/>
    <row r="1037546" ht="10.5" customHeight="1"/>
    <row r="1037547" ht="10.5" customHeight="1"/>
    <row r="1037548" ht="10.5" customHeight="1"/>
    <row r="1037549" ht="10.5" customHeight="1"/>
    <row r="1037550" ht="10.5" customHeight="1"/>
    <row r="1037551" ht="10.5" customHeight="1"/>
    <row r="1037552" ht="10.5" customHeight="1"/>
    <row r="1037553" ht="10.5" customHeight="1"/>
    <row r="1037554" ht="10.5" customHeight="1"/>
    <row r="1037555" ht="10.5" customHeight="1"/>
    <row r="1037556" ht="10.5" customHeight="1"/>
    <row r="1037557" ht="10.5" customHeight="1"/>
    <row r="1037558" ht="10.5" customHeight="1"/>
    <row r="1037559" ht="10.5" customHeight="1"/>
    <row r="1037560" ht="10.5" customHeight="1"/>
    <row r="1037561" ht="10.5" customHeight="1"/>
    <row r="1037562" ht="10.5" customHeight="1"/>
    <row r="1037563" ht="10.5" customHeight="1"/>
    <row r="1037564" ht="10.5" customHeight="1"/>
    <row r="1037565" ht="10.5" customHeight="1"/>
    <row r="1037566" ht="10.5" customHeight="1"/>
    <row r="1037567" ht="10.5" customHeight="1"/>
    <row r="1037568" ht="10.5" customHeight="1"/>
    <row r="1037569" ht="10.5" customHeight="1"/>
    <row r="1037570" ht="10.5" customHeight="1"/>
    <row r="1037571" ht="10.5" customHeight="1"/>
    <row r="1037572" ht="10.5" customHeight="1"/>
    <row r="1037573" ht="10.5" customHeight="1"/>
    <row r="1037574" ht="10.5" customHeight="1"/>
    <row r="1037575" ht="10.5" customHeight="1"/>
    <row r="1037576" ht="10.5" customHeight="1"/>
    <row r="1037577" ht="10.5" customHeight="1"/>
    <row r="1037578" ht="10.5" customHeight="1"/>
    <row r="1037579" ht="10.5" customHeight="1"/>
    <row r="1037580" ht="10.5" customHeight="1"/>
    <row r="1037581" ht="10.5" customHeight="1"/>
    <row r="1037582" ht="10.5" customHeight="1"/>
    <row r="1037583" ht="10.5" customHeight="1"/>
    <row r="1037584" ht="10.5" customHeight="1"/>
    <row r="1037585" ht="10.5" customHeight="1"/>
    <row r="1037586" ht="10.5" customHeight="1"/>
    <row r="1037587" ht="10.5" customHeight="1"/>
    <row r="1037588" ht="10.5" customHeight="1"/>
    <row r="1037589" ht="10.5" customHeight="1"/>
    <row r="1037590" ht="10.5" customHeight="1"/>
    <row r="1037591" ht="10.5" customHeight="1"/>
    <row r="1037592" ht="10.5" customHeight="1"/>
    <row r="1037593" ht="10.5" customHeight="1"/>
    <row r="1037594" ht="10.5" customHeight="1"/>
    <row r="1037595" ht="10.5" customHeight="1"/>
    <row r="1037596" ht="10.5" customHeight="1"/>
    <row r="1037597" ht="10.5" customHeight="1"/>
    <row r="1037598" ht="10.5" customHeight="1"/>
    <row r="1037599" ht="10.5" customHeight="1"/>
    <row r="1037600" ht="10.5" customHeight="1"/>
    <row r="1037601" ht="10.5" customHeight="1"/>
    <row r="1037602" ht="10.5" customHeight="1"/>
    <row r="1037603" ht="10.5" customHeight="1"/>
    <row r="1037604" ht="10.5" customHeight="1"/>
    <row r="1037605" ht="10.5" customHeight="1"/>
    <row r="1037606" ht="10.5" customHeight="1"/>
    <row r="1037607" ht="10.5" customHeight="1"/>
    <row r="1037608" ht="10.5" customHeight="1"/>
    <row r="1037609" ht="10.5" customHeight="1"/>
    <row r="1037610" ht="10.5" customHeight="1"/>
    <row r="1037611" ht="10.5" customHeight="1"/>
    <row r="1037612" ht="10.5" customHeight="1"/>
    <row r="1037613" ht="10.5" customHeight="1"/>
    <row r="1037614" ht="10.5" customHeight="1"/>
    <row r="1037615" ht="10.5" customHeight="1"/>
    <row r="1037616" ht="10.5" customHeight="1"/>
    <row r="1037617" ht="10.5" customHeight="1"/>
    <row r="1037618" ht="10.5" customHeight="1"/>
    <row r="1037619" ht="10.5" customHeight="1"/>
    <row r="1037620" ht="10.5" customHeight="1"/>
    <row r="1037621" ht="10.5" customHeight="1"/>
    <row r="1037622" ht="10.5" customHeight="1"/>
    <row r="1037623" ht="10.5" customHeight="1"/>
    <row r="1037624" ht="10.5" customHeight="1"/>
    <row r="1037625" ht="10.5" customHeight="1"/>
    <row r="1037626" ht="10.5" customHeight="1"/>
    <row r="1037627" ht="10.5" customHeight="1"/>
    <row r="1037628" ht="10.5" customHeight="1"/>
    <row r="1037629" ht="10.5" customHeight="1"/>
    <row r="1037630" ht="10.5" customHeight="1"/>
    <row r="1037631" ht="10.5" customHeight="1"/>
    <row r="1037632" ht="10.5" customHeight="1"/>
    <row r="1037633" ht="10.5" customHeight="1"/>
    <row r="1037634" ht="10.5" customHeight="1"/>
    <row r="1037635" ht="10.5" customHeight="1"/>
    <row r="1037636" ht="10.5" customHeight="1"/>
    <row r="1037637" ht="10.5" customHeight="1"/>
    <row r="1037638" ht="10.5" customHeight="1"/>
    <row r="1037639" ht="10.5" customHeight="1"/>
    <row r="1037640" ht="10.5" customHeight="1"/>
    <row r="1037641" ht="10.5" customHeight="1"/>
    <row r="1037642" ht="10.5" customHeight="1"/>
    <row r="1037643" ht="10.5" customHeight="1"/>
    <row r="1037644" ht="10.5" customHeight="1"/>
    <row r="1037645" ht="10.5" customHeight="1"/>
    <row r="1037646" ht="10.5" customHeight="1"/>
    <row r="1037647" ht="10.5" customHeight="1"/>
    <row r="1037648" ht="10.5" customHeight="1"/>
    <row r="1037649" ht="10.5" customHeight="1"/>
    <row r="1037650" ht="10.5" customHeight="1"/>
    <row r="1037651" ht="10.5" customHeight="1"/>
    <row r="1037652" ht="10.5" customHeight="1"/>
    <row r="1037653" ht="10.5" customHeight="1"/>
    <row r="1037654" ht="10.5" customHeight="1"/>
    <row r="1037655" ht="10.5" customHeight="1"/>
    <row r="1037656" ht="10.5" customHeight="1"/>
    <row r="1037657" ht="10.5" customHeight="1"/>
    <row r="1037658" ht="10.5" customHeight="1"/>
    <row r="1037659" ht="10.5" customHeight="1"/>
    <row r="1037660" ht="10.5" customHeight="1"/>
    <row r="1037661" ht="10.5" customHeight="1"/>
    <row r="1037662" ht="10.5" customHeight="1"/>
    <row r="1037663" ht="10.5" customHeight="1"/>
    <row r="1037664" ht="10.5" customHeight="1"/>
    <row r="1037665" ht="10.5" customHeight="1"/>
    <row r="1037666" ht="10.5" customHeight="1"/>
    <row r="1037667" ht="10.5" customHeight="1"/>
    <row r="1037668" ht="10.5" customHeight="1"/>
    <row r="1037669" ht="10.5" customHeight="1"/>
    <row r="1037670" ht="10.5" customHeight="1"/>
    <row r="1037671" ht="10.5" customHeight="1"/>
    <row r="1037672" ht="10.5" customHeight="1"/>
    <row r="1037673" ht="10.5" customHeight="1"/>
    <row r="1037674" ht="10.5" customHeight="1"/>
    <row r="1037675" ht="10.5" customHeight="1"/>
    <row r="1037676" ht="10.5" customHeight="1"/>
    <row r="1037677" ht="10.5" customHeight="1"/>
    <row r="1037678" ht="10.5" customHeight="1"/>
    <row r="1037679" ht="10.5" customHeight="1"/>
    <row r="1037680" ht="10.5" customHeight="1"/>
    <row r="1037681" ht="10.5" customHeight="1"/>
    <row r="1037682" ht="10.5" customHeight="1"/>
    <row r="1037683" ht="10.5" customHeight="1"/>
    <row r="1037684" ht="10.5" customHeight="1"/>
    <row r="1037685" ht="10.5" customHeight="1"/>
    <row r="1037686" ht="10.5" customHeight="1"/>
    <row r="1037687" ht="10.5" customHeight="1"/>
    <row r="1037688" ht="10.5" customHeight="1"/>
    <row r="1037689" ht="10.5" customHeight="1"/>
    <row r="1037690" ht="10.5" customHeight="1"/>
    <row r="1037691" ht="10.5" customHeight="1"/>
    <row r="1037692" ht="10.5" customHeight="1"/>
    <row r="1037693" ht="10.5" customHeight="1"/>
    <row r="1037694" ht="10.5" customHeight="1"/>
    <row r="1037695" ht="10.5" customHeight="1"/>
    <row r="1037696" ht="10.5" customHeight="1"/>
    <row r="1037697" ht="10.5" customHeight="1"/>
    <row r="1037698" ht="10.5" customHeight="1"/>
    <row r="1037699" ht="10.5" customHeight="1"/>
    <row r="1037700" ht="10.5" customHeight="1"/>
    <row r="1037701" ht="10.5" customHeight="1"/>
    <row r="1037702" ht="10.5" customHeight="1"/>
    <row r="1037703" ht="10.5" customHeight="1"/>
    <row r="1037704" ht="10.5" customHeight="1"/>
    <row r="1037705" ht="10.5" customHeight="1"/>
    <row r="1037706" ht="10.5" customHeight="1"/>
    <row r="1037707" ht="10.5" customHeight="1"/>
    <row r="1037708" ht="10.5" customHeight="1"/>
    <row r="1037709" ht="10.5" customHeight="1"/>
    <row r="1037710" ht="10.5" customHeight="1"/>
    <row r="1037711" ht="10.5" customHeight="1"/>
    <row r="1037712" ht="10.5" customHeight="1"/>
    <row r="1037713" ht="10.5" customHeight="1"/>
    <row r="1037714" ht="10.5" customHeight="1"/>
    <row r="1037715" ht="10.5" customHeight="1"/>
    <row r="1037716" ht="10.5" customHeight="1"/>
    <row r="1037717" ht="10.5" customHeight="1"/>
    <row r="1037718" ht="10.5" customHeight="1"/>
    <row r="1037719" ht="10.5" customHeight="1"/>
    <row r="1037720" ht="10.5" customHeight="1"/>
    <row r="1037721" ht="10.5" customHeight="1"/>
    <row r="1037722" ht="10.5" customHeight="1"/>
    <row r="1037723" ht="10.5" customHeight="1"/>
    <row r="1037724" ht="10.5" customHeight="1"/>
    <row r="1037725" ht="10.5" customHeight="1"/>
    <row r="1037726" ht="10.5" customHeight="1"/>
    <row r="1037727" ht="10.5" customHeight="1"/>
    <row r="1037728" ht="10.5" customHeight="1"/>
    <row r="1037729" ht="10.5" customHeight="1"/>
    <row r="1037730" ht="10.5" customHeight="1"/>
    <row r="1037731" ht="10.5" customHeight="1"/>
    <row r="1037732" ht="10.5" customHeight="1"/>
    <row r="1037733" ht="10.5" customHeight="1"/>
    <row r="1037734" ht="10.5" customHeight="1"/>
    <row r="1037735" ht="10.5" customHeight="1"/>
    <row r="1037736" ht="10.5" customHeight="1"/>
    <row r="1037737" ht="10.5" customHeight="1"/>
    <row r="1037738" ht="10.5" customHeight="1"/>
    <row r="1037739" ht="10.5" customHeight="1"/>
    <row r="1037740" ht="10.5" customHeight="1"/>
    <row r="1037741" ht="10.5" customHeight="1"/>
    <row r="1037742" ht="10.5" customHeight="1"/>
    <row r="1037743" ht="10.5" customHeight="1"/>
    <row r="1037744" ht="10.5" customHeight="1"/>
    <row r="1037745" ht="10.5" customHeight="1"/>
    <row r="1037746" ht="10.5" customHeight="1"/>
    <row r="1037747" ht="10.5" customHeight="1"/>
    <row r="1037748" ht="10.5" customHeight="1"/>
    <row r="1037749" ht="10.5" customHeight="1"/>
    <row r="1037750" ht="10.5" customHeight="1"/>
    <row r="1037751" ht="10.5" customHeight="1"/>
    <row r="1037752" ht="10.5" customHeight="1"/>
    <row r="1037753" ht="10.5" customHeight="1"/>
    <row r="1037754" ht="10.5" customHeight="1"/>
    <row r="1037755" ht="10.5" customHeight="1"/>
    <row r="1037756" ht="10.5" customHeight="1"/>
    <row r="1037757" ht="10.5" customHeight="1"/>
    <row r="1037758" ht="10.5" customHeight="1"/>
    <row r="1037759" ht="10.5" customHeight="1"/>
    <row r="1037760" ht="10.5" customHeight="1"/>
    <row r="1037761" ht="10.5" customHeight="1"/>
    <row r="1037762" ht="10.5" customHeight="1"/>
    <row r="1037763" ht="10.5" customHeight="1"/>
    <row r="1037764" ht="10.5" customHeight="1"/>
    <row r="1037765" ht="10.5" customHeight="1"/>
    <row r="1037766" ht="10.5" customHeight="1"/>
    <row r="1037767" ht="10.5" customHeight="1"/>
    <row r="1037768" ht="10.5" customHeight="1"/>
    <row r="1037769" ht="10.5" customHeight="1"/>
    <row r="1037770" ht="10.5" customHeight="1"/>
    <row r="1037771" ht="10.5" customHeight="1"/>
    <row r="1037772" ht="10.5" customHeight="1"/>
    <row r="1037773" ht="10.5" customHeight="1"/>
    <row r="1037774" ht="10.5" customHeight="1"/>
    <row r="1037775" ht="10.5" customHeight="1"/>
    <row r="1037776" ht="10.5" customHeight="1"/>
    <row r="1037777" ht="10.5" customHeight="1"/>
    <row r="1037778" ht="10.5" customHeight="1"/>
    <row r="1037779" ht="10.5" customHeight="1"/>
    <row r="1037780" ht="10.5" customHeight="1"/>
    <row r="1037781" ht="10.5" customHeight="1"/>
    <row r="1037782" ht="10.5" customHeight="1"/>
    <row r="1037783" ht="10.5" customHeight="1"/>
    <row r="1037784" ht="10.5" customHeight="1"/>
    <row r="1037785" ht="10.5" customHeight="1"/>
    <row r="1037786" ht="10.5" customHeight="1"/>
    <row r="1037787" ht="10.5" customHeight="1"/>
    <row r="1037788" ht="10.5" customHeight="1"/>
    <row r="1037789" ht="10.5" customHeight="1"/>
    <row r="1037790" ht="10.5" customHeight="1"/>
    <row r="1037791" ht="10.5" customHeight="1"/>
    <row r="1037792" ht="10.5" customHeight="1"/>
    <row r="1037793" ht="10.5" customHeight="1"/>
    <row r="1037794" ht="10.5" customHeight="1"/>
    <row r="1037795" ht="10.5" customHeight="1"/>
    <row r="1037796" ht="10.5" customHeight="1"/>
    <row r="1037797" ht="10.5" customHeight="1"/>
    <row r="1037798" ht="10.5" customHeight="1"/>
    <row r="1037799" ht="10.5" customHeight="1"/>
    <row r="1037800" ht="10.5" customHeight="1"/>
    <row r="1037801" ht="10.5" customHeight="1"/>
    <row r="1037802" ht="10.5" customHeight="1"/>
    <row r="1037803" ht="10.5" customHeight="1"/>
    <row r="1037804" ht="10.5" customHeight="1"/>
    <row r="1037805" ht="10.5" customHeight="1"/>
    <row r="1037806" ht="10.5" customHeight="1"/>
    <row r="1037807" ht="10.5" customHeight="1"/>
    <row r="1037808" ht="10.5" customHeight="1"/>
    <row r="1037809" ht="10.5" customHeight="1"/>
    <row r="1037810" ht="10.5" customHeight="1"/>
    <row r="1037811" ht="10.5" customHeight="1"/>
    <row r="1037812" ht="10.5" customHeight="1"/>
    <row r="1037813" ht="10.5" customHeight="1"/>
    <row r="1037814" ht="10.5" customHeight="1"/>
    <row r="1037815" ht="10.5" customHeight="1"/>
    <row r="1037816" ht="10.5" customHeight="1"/>
    <row r="1037817" ht="10.5" customHeight="1"/>
    <row r="1037818" ht="10.5" customHeight="1"/>
    <row r="1037819" ht="10.5" customHeight="1"/>
    <row r="1037820" ht="10.5" customHeight="1"/>
    <row r="1037821" ht="10.5" customHeight="1"/>
    <row r="1037822" ht="10.5" customHeight="1"/>
    <row r="1037823" ht="10.5" customHeight="1"/>
    <row r="1037824" ht="10.5" customHeight="1"/>
    <row r="1037825" ht="10.5" customHeight="1"/>
    <row r="1037826" ht="10.5" customHeight="1"/>
    <row r="1037827" ht="10.5" customHeight="1"/>
    <row r="1037828" ht="10.5" customHeight="1"/>
    <row r="1037829" ht="10.5" customHeight="1"/>
    <row r="1037830" ht="10.5" customHeight="1"/>
    <row r="1037831" ht="10.5" customHeight="1"/>
    <row r="1037832" ht="10.5" customHeight="1"/>
    <row r="1037833" ht="10.5" customHeight="1"/>
    <row r="1037834" ht="10.5" customHeight="1"/>
    <row r="1037835" ht="10.5" customHeight="1"/>
    <row r="1037836" ht="10.5" customHeight="1"/>
    <row r="1037837" ht="10.5" customHeight="1"/>
    <row r="1037838" ht="10.5" customHeight="1"/>
    <row r="1037839" ht="10.5" customHeight="1"/>
    <row r="1037840" ht="10.5" customHeight="1"/>
    <row r="1037841" ht="10.5" customHeight="1"/>
    <row r="1037842" ht="10.5" customHeight="1"/>
    <row r="1037843" ht="10.5" customHeight="1"/>
    <row r="1037844" ht="10.5" customHeight="1"/>
    <row r="1037845" ht="10.5" customHeight="1"/>
    <row r="1037846" ht="10.5" customHeight="1"/>
    <row r="1037847" ht="10.5" customHeight="1"/>
    <row r="1037848" ht="10.5" customHeight="1"/>
    <row r="1037849" ht="10.5" customHeight="1"/>
    <row r="1037850" ht="10.5" customHeight="1"/>
    <row r="1037851" ht="10.5" customHeight="1"/>
    <row r="1037852" ht="10.5" customHeight="1"/>
    <row r="1037853" ht="10.5" customHeight="1"/>
    <row r="1037854" ht="10.5" customHeight="1"/>
    <row r="1037855" ht="10.5" customHeight="1"/>
    <row r="1037856" ht="10.5" customHeight="1"/>
    <row r="1037857" ht="10.5" customHeight="1"/>
    <row r="1037858" ht="10.5" customHeight="1"/>
    <row r="1037859" ht="10.5" customHeight="1"/>
    <row r="1037860" ht="10.5" customHeight="1"/>
    <row r="1037861" ht="10.5" customHeight="1"/>
    <row r="1037862" ht="10.5" customHeight="1"/>
    <row r="1037863" ht="10.5" customHeight="1"/>
    <row r="1037864" ht="10.5" customHeight="1"/>
    <row r="1037865" ht="10.5" customHeight="1"/>
    <row r="1037866" ht="10.5" customHeight="1"/>
    <row r="1037867" ht="10.5" customHeight="1"/>
    <row r="1037868" ht="10.5" customHeight="1"/>
    <row r="1037869" ht="10.5" customHeight="1"/>
    <row r="1037870" ht="10.5" customHeight="1"/>
    <row r="1037871" ht="10.5" customHeight="1"/>
    <row r="1037872" ht="10.5" customHeight="1"/>
    <row r="1037873" ht="10.5" customHeight="1"/>
    <row r="1037874" ht="10.5" customHeight="1"/>
    <row r="1037875" ht="10.5" customHeight="1"/>
    <row r="1037876" ht="10.5" customHeight="1"/>
    <row r="1037877" ht="10.5" customHeight="1"/>
    <row r="1037878" ht="10.5" customHeight="1"/>
    <row r="1037879" ht="10.5" customHeight="1"/>
    <row r="1037880" ht="10.5" customHeight="1"/>
    <row r="1037881" ht="10.5" customHeight="1"/>
    <row r="1037882" ht="10.5" customHeight="1"/>
    <row r="1037883" ht="10.5" customHeight="1"/>
    <row r="1037884" ht="10.5" customHeight="1"/>
    <row r="1037885" ht="10.5" customHeight="1"/>
    <row r="1037886" ht="10.5" customHeight="1"/>
    <row r="1037887" ht="10.5" customHeight="1"/>
    <row r="1037888" ht="10.5" customHeight="1"/>
    <row r="1037889" ht="10.5" customHeight="1"/>
    <row r="1037890" ht="10.5" customHeight="1"/>
    <row r="1037891" ht="10.5" customHeight="1"/>
    <row r="1037892" ht="10.5" customHeight="1"/>
    <row r="1037893" ht="10.5" customHeight="1"/>
    <row r="1037894" ht="10.5" customHeight="1"/>
    <row r="1037895" ht="10.5" customHeight="1"/>
    <row r="1037896" ht="10.5" customHeight="1"/>
    <row r="1037897" ht="10.5" customHeight="1"/>
    <row r="1037898" ht="10.5" customHeight="1"/>
    <row r="1037899" ht="10.5" customHeight="1"/>
    <row r="1037900" ht="10.5" customHeight="1"/>
    <row r="1037901" ht="10.5" customHeight="1"/>
    <row r="1037902" ht="10.5" customHeight="1"/>
    <row r="1037903" ht="10.5" customHeight="1"/>
    <row r="1037904" ht="10.5" customHeight="1"/>
    <row r="1037905" ht="10.5" customHeight="1"/>
    <row r="1037906" ht="10.5" customHeight="1"/>
    <row r="1037907" ht="10.5" customHeight="1"/>
    <row r="1037908" ht="10.5" customHeight="1"/>
    <row r="1037909" ht="10.5" customHeight="1"/>
    <row r="1037910" ht="10.5" customHeight="1"/>
    <row r="1037911" ht="10.5" customHeight="1"/>
    <row r="1037912" ht="10.5" customHeight="1"/>
    <row r="1037913" ht="10.5" customHeight="1"/>
    <row r="1037914" ht="10.5" customHeight="1"/>
    <row r="1037915" ht="10.5" customHeight="1"/>
    <row r="1037916" ht="10.5" customHeight="1"/>
    <row r="1037917" ht="10.5" customHeight="1"/>
    <row r="1037918" ht="10.5" customHeight="1"/>
    <row r="1037919" ht="10.5" customHeight="1"/>
    <row r="1037920" ht="10.5" customHeight="1"/>
    <row r="1037921" ht="10.5" customHeight="1"/>
    <row r="1037922" ht="10.5" customHeight="1"/>
    <row r="1037923" ht="10.5" customHeight="1"/>
    <row r="1037924" ht="10.5" customHeight="1"/>
    <row r="1037925" ht="10.5" customHeight="1"/>
    <row r="1037926" ht="10.5" customHeight="1"/>
    <row r="1037927" ht="10.5" customHeight="1"/>
    <row r="1037928" ht="10.5" customHeight="1"/>
    <row r="1037929" ht="10.5" customHeight="1"/>
    <row r="1037930" ht="10.5" customHeight="1"/>
    <row r="1037931" ht="10.5" customHeight="1"/>
    <row r="1037932" ht="10.5" customHeight="1"/>
    <row r="1037933" ht="10.5" customHeight="1"/>
    <row r="1037934" ht="10.5" customHeight="1"/>
    <row r="1037935" ht="10.5" customHeight="1"/>
    <row r="1037936" ht="10.5" customHeight="1"/>
    <row r="1037937" ht="10.5" customHeight="1"/>
    <row r="1037938" ht="10.5" customHeight="1"/>
    <row r="1037939" ht="10.5" customHeight="1"/>
    <row r="1037940" ht="10.5" customHeight="1"/>
    <row r="1037941" ht="10.5" customHeight="1"/>
    <row r="1037942" ht="10.5" customHeight="1"/>
    <row r="1037943" ht="10.5" customHeight="1"/>
    <row r="1037944" ht="10.5" customHeight="1"/>
    <row r="1037945" ht="10.5" customHeight="1"/>
    <row r="1037946" ht="10.5" customHeight="1"/>
    <row r="1037947" ht="10.5" customHeight="1"/>
    <row r="1037948" ht="10.5" customHeight="1"/>
    <row r="1037949" ht="10.5" customHeight="1"/>
    <row r="1037950" ht="10.5" customHeight="1"/>
    <row r="1037951" ht="10.5" customHeight="1"/>
    <row r="1037952" ht="10.5" customHeight="1"/>
    <row r="1037953" ht="10.5" customHeight="1"/>
    <row r="1037954" ht="10.5" customHeight="1"/>
    <row r="1037955" ht="10.5" customHeight="1"/>
    <row r="1037956" ht="10.5" customHeight="1"/>
    <row r="1037957" ht="10.5" customHeight="1"/>
    <row r="1037958" ht="10.5" customHeight="1"/>
    <row r="1037959" ht="10.5" customHeight="1"/>
    <row r="1037960" ht="10.5" customHeight="1"/>
    <row r="1037961" ht="10.5" customHeight="1"/>
    <row r="1037962" ht="10.5" customHeight="1"/>
    <row r="1037963" ht="10.5" customHeight="1"/>
    <row r="1037964" ht="10.5" customHeight="1"/>
    <row r="1037965" ht="10.5" customHeight="1"/>
    <row r="1037966" ht="10.5" customHeight="1"/>
    <row r="1037967" ht="10.5" customHeight="1"/>
    <row r="1037968" ht="10.5" customHeight="1"/>
    <row r="1037969" ht="10.5" customHeight="1"/>
    <row r="1037970" ht="10.5" customHeight="1"/>
    <row r="1037971" ht="10.5" customHeight="1"/>
    <row r="1037972" ht="10.5" customHeight="1"/>
    <row r="1037973" ht="10.5" customHeight="1"/>
    <row r="1037974" ht="10.5" customHeight="1"/>
    <row r="1037975" ht="10.5" customHeight="1"/>
    <row r="1037976" ht="10.5" customHeight="1"/>
    <row r="1037977" ht="10.5" customHeight="1"/>
    <row r="1037978" ht="10.5" customHeight="1"/>
    <row r="1037979" ht="10.5" customHeight="1"/>
    <row r="1037980" ht="10.5" customHeight="1"/>
    <row r="1037981" ht="10.5" customHeight="1"/>
    <row r="1037982" ht="10.5" customHeight="1"/>
    <row r="1037983" ht="10.5" customHeight="1"/>
    <row r="1037984" ht="10.5" customHeight="1"/>
    <row r="1037985" ht="10.5" customHeight="1"/>
    <row r="1037986" ht="10.5" customHeight="1"/>
    <row r="1037987" ht="10.5" customHeight="1"/>
    <row r="1037988" ht="10.5" customHeight="1"/>
    <row r="1037989" ht="10.5" customHeight="1"/>
    <row r="1037990" ht="10.5" customHeight="1"/>
    <row r="1037991" ht="10.5" customHeight="1"/>
    <row r="1037992" ht="10.5" customHeight="1"/>
    <row r="1037993" ht="10.5" customHeight="1"/>
    <row r="1037994" ht="10.5" customHeight="1"/>
    <row r="1037995" ht="10.5" customHeight="1"/>
    <row r="1037996" ht="10.5" customHeight="1"/>
    <row r="1037997" ht="10.5" customHeight="1"/>
    <row r="1037998" ht="10.5" customHeight="1"/>
    <row r="1037999" ht="10.5" customHeight="1"/>
    <row r="1038000" ht="10.5" customHeight="1"/>
    <row r="1038001" ht="10.5" customHeight="1"/>
    <row r="1038002" ht="10.5" customHeight="1"/>
    <row r="1038003" ht="10.5" customHeight="1"/>
    <row r="1038004" ht="10.5" customHeight="1"/>
    <row r="1038005" ht="10.5" customHeight="1"/>
    <row r="1038006" ht="10.5" customHeight="1"/>
    <row r="1038007" ht="10.5" customHeight="1"/>
    <row r="1038008" ht="10.5" customHeight="1"/>
    <row r="1038009" ht="10.5" customHeight="1"/>
    <row r="1038010" ht="10.5" customHeight="1"/>
    <row r="1038011" ht="10.5" customHeight="1"/>
    <row r="1038012" ht="10.5" customHeight="1"/>
    <row r="1038013" ht="10.5" customHeight="1"/>
    <row r="1038014" ht="10.5" customHeight="1"/>
    <row r="1038015" ht="10.5" customHeight="1"/>
    <row r="1038016" ht="10.5" customHeight="1"/>
    <row r="1038017" ht="10.5" customHeight="1"/>
    <row r="1038018" ht="10.5" customHeight="1"/>
    <row r="1038019" ht="10.5" customHeight="1"/>
    <row r="1038020" ht="10.5" customHeight="1"/>
    <row r="1038021" ht="10.5" customHeight="1"/>
    <row r="1038022" ht="10.5" customHeight="1"/>
    <row r="1038023" ht="10.5" customHeight="1"/>
    <row r="1038024" ht="10.5" customHeight="1"/>
    <row r="1038025" ht="10.5" customHeight="1"/>
    <row r="1038026" ht="10.5" customHeight="1"/>
    <row r="1038027" ht="10.5" customHeight="1"/>
    <row r="1038028" ht="10.5" customHeight="1"/>
    <row r="1038029" ht="10.5" customHeight="1"/>
    <row r="1038030" ht="10.5" customHeight="1"/>
    <row r="1038031" ht="10.5" customHeight="1"/>
    <row r="1038032" ht="10.5" customHeight="1"/>
    <row r="1038033" ht="10.5" customHeight="1"/>
    <row r="1038034" ht="10.5" customHeight="1"/>
    <row r="1038035" ht="10.5" customHeight="1"/>
    <row r="1038036" ht="10.5" customHeight="1"/>
    <row r="1038037" ht="10.5" customHeight="1"/>
    <row r="1038038" ht="10.5" customHeight="1"/>
    <row r="1038039" ht="10.5" customHeight="1"/>
    <row r="1038040" ht="10.5" customHeight="1"/>
    <row r="1038041" ht="10.5" customHeight="1"/>
    <row r="1038042" ht="10.5" customHeight="1"/>
    <row r="1038043" ht="10.5" customHeight="1"/>
    <row r="1038044" ht="10.5" customHeight="1"/>
    <row r="1038045" ht="10.5" customHeight="1"/>
    <row r="1038046" ht="10.5" customHeight="1"/>
    <row r="1038047" ht="10.5" customHeight="1"/>
    <row r="1038048" ht="10.5" customHeight="1"/>
    <row r="1038049" ht="10.5" customHeight="1"/>
    <row r="1038050" ht="10.5" customHeight="1"/>
    <row r="1038051" ht="10.5" customHeight="1"/>
    <row r="1038052" ht="10.5" customHeight="1"/>
    <row r="1038053" ht="10.5" customHeight="1"/>
    <row r="1038054" ht="10.5" customHeight="1"/>
    <row r="1038055" ht="10.5" customHeight="1"/>
    <row r="1038056" ht="10.5" customHeight="1"/>
    <row r="1038057" ht="10.5" customHeight="1"/>
    <row r="1038058" ht="10.5" customHeight="1"/>
    <row r="1038059" ht="10.5" customHeight="1"/>
    <row r="1038060" ht="10.5" customHeight="1"/>
    <row r="1038061" ht="10.5" customHeight="1"/>
    <row r="1038062" ht="10.5" customHeight="1"/>
    <row r="1038063" ht="10.5" customHeight="1"/>
    <row r="1038064" ht="10.5" customHeight="1"/>
    <row r="1038065" ht="10.5" customHeight="1"/>
    <row r="1038066" ht="10.5" customHeight="1"/>
    <row r="1038067" ht="10.5" customHeight="1"/>
    <row r="1038068" ht="10.5" customHeight="1"/>
    <row r="1038069" ht="10.5" customHeight="1"/>
    <row r="1038070" ht="10.5" customHeight="1"/>
    <row r="1038071" ht="10.5" customHeight="1"/>
    <row r="1038072" ht="10.5" customHeight="1"/>
    <row r="1038073" ht="10.5" customHeight="1"/>
    <row r="1038074" ht="10.5" customHeight="1"/>
    <row r="1038075" ht="10.5" customHeight="1"/>
    <row r="1038076" ht="10.5" customHeight="1"/>
    <row r="1038077" ht="10.5" customHeight="1"/>
    <row r="1038078" ht="10.5" customHeight="1"/>
    <row r="1038079" ht="10.5" customHeight="1"/>
    <row r="1038080" ht="10.5" customHeight="1"/>
    <row r="1038081" ht="10.5" customHeight="1"/>
    <row r="1038082" ht="10.5" customHeight="1"/>
    <row r="1038083" ht="10.5" customHeight="1"/>
    <row r="1038084" ht="10.5" customHeight="1"/>
    <row r="1038085" ht="10.5" customHeight="1"/>
    <row r="1038086" ht="10.5" customHeight="1"/>
    <row r="1038087" ht="10.5" customHeight="1"/>
    <row r="1038088" ht="10.5" customHeight="1"/>
    <row r="1038089" ht="10.5" customHeight="1"/>
    <row r="1038090" ht="10.5" customHeight="1"/>
    <row r="1038091" ht="10.5" customHeight="1"/>
    <row r="1038092" ht="10.5" customHeight="1"/>
    <row r="1038093" ht="10.5" customHeight="1"/>
    <row r="1038094" ht="10.5" customHeight="1"/>
    <row r="1038095" ht="10.5" customHeight="1"/>
    <row r="1038096" ht="10.5" customHeight="1"/>
    <row r="1038097" ht="10.5" customHeight="1"/>
    <row r="1038098" ht="10.5" customHeight="1"/>
    <row r="1038099" ht="10.5" customHeight="1"/>
    <row r="1038100" ht="10.5" customHeight="1"/>
    <row r="1038101" ht="10.5" customHeight="1"/>
    <row r="1038102" ht="10.5" customHeight="1"/>
    <row r="1038103" ht="10.5" customHeight="1"/>
    <row r="1038104" ht="10.5" customHeight="1"/>
    <row r="1038105" ht="10.5" customHeight="1"/>
    <row r="1038106" ht="10.5" customHeight="1"/>
    <row r="1038107" ht="10.5" customHeight="1"/>
    <row r="1038108" ht="10.5" customHeight="1"/>
    <row r="1038109" ht="10.5" customHeight="1"/>
    <row r="1038110" ht="10.5" customHeight="1"/>
    <row r="1038111" ht="10.5" customHeight="1"/>
    <row r="1038112" ht="10.5" customHeight="1"/>
    <row r="1038113" ht="10.5" customHeight="1"/>
    <row r="1038114" ht="10.5" customHeight="1"/>
    <row r="1038115" ht="10.5" customHeight="1"/>
    <row r="1038116" ht="10.5" customHeight="1"/>
    <row r="1038117" ht="10.5" customHeight="1"/>
    <row r="1038118" ht="10.5" customHeight="1"/>
    <row r="1038119" ht="10.5" customHeight="1"/>
    <row r="1038120" ht="10.5" customHeight="1"/>
    <row r="1038121" ht="10.5" customHeight="1"/>
    <row r="1038122" ht="10.5" customHeight="1"/>
    <row r="1038123" ht="10.5" customHeight="1"/>
    <row r="1038124" ht="10.5" customHeight="1"/>
    <row r="1038125" ht="10.5" customHeight="1"/>
    <row r="1038126" ht="10.5" customHeight="1"/>
    <row r="1038127" ht="10.5" customHeight="1"/>
    <row r="1038128" ht="10.5" customHeight="1"/>
    <row r="1038129" ht="10.5" customHeight="1"/>
    <row r="1038130" ht="10.5" customHeight="1"/>
    <row r="1038131" ht="10.5" customHeight="1"/>
    <row r="1038132" ht="10.5" customHeight="1"/>
    <row r="1038133" ht="10.5" customHeight="1"/>
    <row r="1038134" ht="10.5" customHeight="1"/>
    <row r="1038135" ht="10.5" customHeight="1"/>
    <row r="1038136" ht="10.5" customHeight="1"/>
    <row r="1038137" ht="10.5" customHeight="1"/>
    <row r="1038138" ht="10.5" customHeight="1"/>
    <row r="1038139" ht="10.5" customHeight="1"/>
    <row r="1038140" ht="10.5" customHeight="1"/>
    <row r="1038141" ht="10.5" customHeight="1"/>
    <row r="1038142" ht="10.5" customHeight="1"/>
    <row r="1038143" ht="10.5" customHeight="1"/>
    <row r="1038144" ht="10.5" customHeight="1"/>
    <row r="1038145" ht="10.5" customHeight="1"/>
    <row r="1038146" ht="10.5" customHeight="1"/>
    <row r="1038147" ht="10.5" customHeight="1"/>
    <row r="1038148" ht="10.5" customHeight="1"/>
    <row r="1038149" ht="10.5" customHeight="1"/>
    <row r="1038150" ht="10.5" customHeight="1"/>
    <row r="1038151" ht="10.5" customHeight="1"/>
    <row r="1038152" ht="10.5" customHeight="1"/>
    <row r="1038153" ht="10.5" customHeight="1"/>
    <row r="1038154" ht="10.5" customHeight="1"/>
    <row r="1038155" ht="10.5" customHeight="1"/>
    <row r="1038156" ht="10.5" customHeight="1"/>
    <row r="1038157" ht="10.5" customHeight="1"/>
    <row r="1038158" ht="10.5" customHeight="1"/>
    <row r="1038159" ht="10.5" customHeight="1"/>
    <row r="1038160" ht="10.5" customHeight="1"/>
    <row r="1038161" ht="10.5" customHeight="1"/>
    <row r="1038162" ht="10.5" customHeight="1"/>
    <row r="1038163" ht="10.5" customHeight="1"/>
    <row r="1038164" ht="10.5" customHeight="1"/>
    <row r="1038165" ht="10.5" customHeight="1"/>
    <row r="1038166" ht="10.5" customHeight="1"/>
    <row r="1038167" ht="10.5" customHeight="1"/>
    <row r="1038168" ht="10.5" customHeight="1"/>
    <row r="1038169" ht="10.5" customHeight="1"/>
    <row r="1038170" ht="10.5" customHeight="1"/>
    <row r="1038171" ht="10.5" customHeight="1"/>
    <row r="1038172" ht="10.5" customHeight="1"/>
    <row r="1038173" ht="10.5" customHeight="1"/>
    <row r="1038174" ht="10.5" customHeight="1"/>
    <row r="1038175" ht="10.5" customHeight="1"/>
    <row r="1038176" ht="10.5" customHeight="1"/>
    <row r="1038177" ht="10.5" customHeight="1"/>
    <row r="1038178" ht="10.5" customHeight="1"/>
    <row r="1038179" ht="10.5" customHeight="1"/>
    <row r="1038180" ht="10.5" customHeight="1"/>
    <row r="1038181" ht="10.5" customHeight="1"/>
    <row r="1038182" ht="10.5" customHeight="1"/>
    <row r="1038183" ht="10.5" customHeight="1"/>
    <row r="1038184" ht="10.5" customHeight="1"/>
    <row r="1038185" ht="10.5" customHeight="1"/>
    <row r="1038186" ht="10.5" customHeight="1"/>
    <row r="1038187" ht="10.5" customHeight="1"/>
    <row r="1038188" ht="10.5" customHeight="1"/>
    <row r="1038189" ht="10.5" customHeight="1"/>
    <row r="1038190" ht="10.5" customHeight="1"/>
    <row r="1038191" ht="10.5" customHeight="1"/>
    <row r="1038192" ht="10.5" customHeight="1"/>
    <row r="1038193" ht="10.5" customHeight="1"/>
    <row r="1038194" ht="10.5" customHeight="1"/>
    <row r="1038195" ht="10.5" customHeight="1"/>
    <row r="1038196" ht="10.5" customHeight="1"/>
    <row r="1038197" ht="10.5" customHeight="1"/>
    <row r="1038198" ht="10.5" customHeight="1"/>
    <row r="1038199" ht="10.5" customHeight="1"/>
    <row r="1038200" ht="10.5" customHeight="1"/>
    <row r="1038201" ht="10.5" customHeight="1"/>
    <row r="1038202" ht="10.5" customHeight="1"/>
    <row r="1038203" ht="10.5" customHeight="1"/>
    <row r="1038204" ht="10.5" customHeight="1"/>
    <row r="1038205" ht="10.5" customHeight="1"/>
    <row r="1038206" ht="10.5" customHeight="1"/>
    <row r="1038207" ht="10.5" customHeight="1"/>
    <row r="1038208" ht="10.5" customHeight="1"/>
    <row r="1038209" ht="10.5" customHeight="1"/>
    <row r="1038210" ht="10.5" customHeight="1"/>
    <row r="1038211" ht="10.5" customHeight="1"/>
    <row r="1038212" ht="10.5" customHeight="1"/>
    <row r="1038213" ht="10.5" customHeight="1"/>
    <row r="1038214" ht="10.5" customHeight="1"/>
    <row r="1038215" ht="10.5" customHeight="1"/>
    <row r="1038216" ht="10.5" customHeight="1"/>
    <row r="1038217" ht="10.5" customHeight="1"/>
    <row r="1038218" ht="10.5" customHeight="1"/>
    <row r="1038219" ht="10.5" customHeight="1"/>
    <row r="1038220" ht="10.5" customHeight="1"/>
    <row r="1038221" ht="10.5" customHeight="1"/>
    <row r="1038222" ht="10.5" customHeight="1"/>
    <row r="1038223" ht="10.5" customHeight="1"/>
    <row r="1038224" ht="10.5" customHeight="1"/>
    <row r="1038225" ht="10.5" customHeight="1"/>
    <row r="1038226" ht="10.5" customHeight="1"/>
    <row r="1038227" ht="10.5" customHeight="1"/>
    <row r="1038228" ht="10.5" customHeight="1"/>
    <row r="1038229" ht="10.5" customHeight="1"/>
    <row r="1038230" ht="10.5" customHeight="1"/>
    <row r="1038231" ht="10.5" customHeight="1"/>
    <row r="1038232" ht="10.5" customHeight="1"/>
    <row r="1038233" ht="10.5" customHeight="1"/>
    <row r="1038234" ht="10.5" customHeight="1"/>
    <row r="1038235" ht="10.5" customHeight="1"/>
    <row r="1038236" ht="10.5" customHeight="1"/>
    <row r="1038237" ht="10.5" customHeight="1"/>
    <row r="1038238" ht="10.5" customHeight="1"/>
    <row r="1038239" ht="10.5" customHeight="1"/>
    <row r="1038240" ht="10.5" customHeight="1"/>
    <row r="1038241" ht="10.5" customHeight="1"/>
    <row r="1038242" ht="10.5" customHeight="1"/>
    <row r="1038243" ht="10.5" customHeight="1"/>
    <row r="1038244" ht="10.5" customHeight="1"/>
    <row r="1038245" ht="10.5" customHeight="1"/>
    <row r="1038246" ht="10.5" customHeight="1"/>
    <row r="1038247" ht="10.5" customHeight="1"/>
    <row r="1038248" ht="10.5" customHeight="1"/>
    <row r="1038249" ht="10.5" customHeight="1"/>
    <row r="1038250" ht="10.5" customHeight="1"/>
    <row r="1038251" ht="10.5" customHeight="1"/>
    <row r="1038252" ht="10.5" customHeight="1"/>
    <row r="1038253" ht="10.5" customHeight="1"/>
    <row r="1038254" ht="10.5" customHeight="1"/>
    <row r="1038255" ht="10.5" customHeight="1"/>
    <row r="1038256" ht="10.5" customHeight="1"/>
    <row r="1038257" ht="10.5" customHeight="1"/>
    <row r="1038258" ht="10.5" customHeight="1"/>
    <row r="1038259" ht="10.5" customHeight="1"/>
    <row r="1038260" ht="10.5" customHeight="1"/>
    <row r="1038261" ht="10.5" customHeight="1"/>
    <row r="1038262" ht="10.5" customHeight="1"/>
    <row r="1038263" ht="10.5" customHeight="1"/>
    <row r="1038264" ht="10.5" customHeight="1"/>
    <row r="1038265" ht="10.5" customHeight="1"/>
    <row r="1038266" ht="10.5" customHeight="1"/>
    <row r="1038267" ht="10.5" customHeight="1"/>
    <row r="1038268" ht="10.5" customHeight="1"/>
    <row r="1038269" ht="10.5" customHeight="1"/>
    <row r="1038270" ht="10.5" customHeight="1"/>
    <row r="1038271" ht="10.5" customHeight="1"/>
    <row r="1038272" ht="10.5" customHeight="1"/>
    <row r="1038273" ht="10.5" customHeight="1"/>
    <row r="1038274" ht="10.5" customHeight="1"/>
    <row r="1038275" ht="10.5" customHeight="1"/>
    <row r="1038276" ht="10.5" customHeight="1"/>
    <row r="1038277" ht="10.5" customHeight="1"/>
    <row r="1038278" ht="10.5" customHeight="1"/>
    <row r="1038279" ht="10.5" customHeight="1"/>
    <row r="1038280" ht="10.5" customHeight="1"/>
    <row r="1038281" ht="10.5" customHeight="1"/>
    <row r="1038282" ht="10.5" customHeight="1"/>
    <row r="1038283" ht="10.5" customHeight="1"/>
    <row r="1038284" ht="10.5" customHeight="1"/>
    <row r="1038285" ht="10.5" customHeight="1"/>
    <row r="1038286" ht="10.5" customHeight="1"/>
    <row r="1038287" ht="10.5" customHeight="1"/>
    <row r="1038288" ht="10.5" customHeight="1"/>
    <row r="1038289" ht="10.5" customHeight="1"/>
    <row r="1038290" ht="10.5" customHeight="1"/>
    <row r="1038291" ht="10.5" customHeight="1"/>
    <row r="1038292" ht="10.5" customHeight="1"/>
    <row r="1038293" ht="10.5" customHeight="1"/>
    <row r="1038294" ht="10.5" customHeight="1"/>
    <row r="1038295" ht="10.5" customHeight="1"/>
    <row r="1038296" ht="10.5" customHeight="1"/>
    <row r="1038297" ht="10.5" customHeight="1"/>
    <row r="1038298" ht="10.5" customHeight="1"/>
    <row r="1038299" ht="10.5" customHeight="1"/>
    <row r="1038300" ht="10.5" customHeight="1"/>
    <row r="1038301" ht="10.5" customHeight="1"/>
    <row r="1038302" ht="10.5" customHeight="1"/>
    <row r="1038303" ht="10.5" customHeight="1"/>
    <row r="1038304" ht="10.5" customHeight="1"/>
    <row r="1038305" ht="10.5" customHeight="1"/>
    <row r="1038306" ht="10.5" customHeight="1"/>
    <row r="1038307" ht="10.5" customHeight="1"/>
    <row r="1038308" ht="10.5" customHeight="1"/>
    <row r="1038309" ht="10.5" customHeight="1"/>
    <row r="1038310" ht="10.5" customHeight="1"/>
    <row r="1038311" ht="10.5" customHeight="1"/>
    <row r="1038312" ht="10.5" customHeight="1"/>
    <row r="1038313" ht="10.5" customHeight="1"/>
    <row r="1038314" ht="10.5" customHeight="1"/>
    <row r="1038315" ht="10.5" customHeight="1"/>
    <row r="1038316" ht="10.5" customHeight="1"/>
    <row r="1038317" ht="10.5" customHeight="1"/>
    <row r="1038318" ht="10.5" customHeight="1"/>
    <row r="1038319" ht="10.5" customHeight="1"/>
    <row r="1038320" ht="10.5" customHeight="1"/>
    <row r="1038321" ht="10.5" customHeight="1"/>
    <row r="1038322" ht="10.5" customHeight="1"/>
    <row r="1038323" ht="10.5" customHeight="1"/>
    <row r="1038324" ht="10.5" customHeight="1"/>
    <row r="1038325" ht="10.5" customHeight="1"/>
    <row r="1038326" ht="10.5" customHeight="1"/>
    <row r="1038327" ht="10.5" customHeight="1"/>
    <row r="1038328" ht="10.5" customHeight="1"/>
    <row r="1038329" ht="10.5" customHeight="1"/>
    <row r="1038330" ht="10.5" customHeight="1"/>
    <row r="1038331" ht="10.5" customHeight="1"/>
    <row r="1038332" ht="10.5" customHeight="1"/>
    <row r="1038333" ht="10.5" customHeight="1"/>
    <row r="1038334" ht="10.5" customHeight="1"/>
    <row r="1038335" ht="10.5" customHeight="1"/>
    <row r="1038336" ht="10.5" customHeight="1"/>
    <row r="1038337" ht="10.5" customHeight="1"/>
    <row r="1038338" ht="10.5" customHeight="1"/>
    <row r="1038339" ht="10.5" customHeight="1"/>
    <row r="1038340" ht="10.5" customHeight="1"/>
    <row r="1038341" ht="10.5" customHeight="1"/>
    <row r="1038342" ht="10.5" customHeight="1"/>
    <row r="1038343" ht="10.5" customHeight="1"/>
    <row r="1038344" ht="10.5" customHeight="1"/>
    <row r="1038345" ht="10.5" customHeight="1"/>
    <row r="1038346" ht="10.5" customHeight="1"/>
    <row r="1038347" ht="10.5" customHeight="1"/>
    <row r="1038348" ht="10.5" customHeight="1"/>
    <row r="1038349" ht="10.5" customHeight="1"/>
    <row r="1038350" ht="10.5" customHeight="1"/>
    <row r="1038351" ht="10.5" customHeight="1"/>
    <row r="1038352" ht="10.5" customHeight="1"/>
    <row r="1038353" ht="10.5" customHeight="1"/>
    <row r="1038354" ht="10.5" customHeight="1"/>
    <row r="1038355" ht="10.5" customHeight="1"/>
    <row r="1038356" ht="10.5" customHeight="1"/>
    <row r="1038357" ht="10.5" customHeight="1"/>
    <row r="1038358" ht="10.5" customHeight="1"/>
    <row r="1038359" ht="10.5" customHeight="1"/>
    <row r="1038360" ht="10.5" customHeight="1"/>
    <row r="1038361" ht="10.5" customHeight="1"/>
    <row r="1038362" ht="10.5" customHeight="1"/>
    <row r="1038363" ht="10.5" customHeight="1"/>
    <row r="1038364" ht="10.5" customHeight="1"/>
    <row r="1038365" ht="10.5" customHeight="1"/>
    <row r="1038366" ht="10.5" customHeight="1"/>
    <row r="1038367" ht="10.5" customHeight="1"/>
    <row r="1038368" ht="10.5" customHeight="1"/>
    <row r="1038369" ht="10.5" customHeight="1"/>
    <row r="1038370" ht="10.5" customHeight="1"/>
    <row r="1038371" ht="10.5" customHeight="1"/>
    <row r="1038372" ht="10.5" customHeight="1"/>
    <row r="1038373" ht="10.5" customHeight="1"/>
    <row r="1038374" ht="10.5" customHeight="1"/>
    <row r="1038375" ht="10.5" customHeight="1"/>
    <row r="1038376" ht="10.5" customHeight="1"/>
    <row r="1038377" ht="10.5" customHeight="1"/>
    <row r="1038378" ht="10.5" customHeight="1"/>
    <row r="1038379" ht="10.5" customHeight="1"/>
    <row r="1038380" ht="10.5" customHeight="1"/>
    <row r="1038381" ht="10.5" customHeight="1"/>
    <row r="1038382" ht="10.5" customHeight="1"/>
    <row r="1038383" ht="10.5" customHeight="1"/>
    <row r="1038384" ht="10.5" customHeight="1"/>
    <row r="1038385" ht="10.5" customHeight="1"/>
    <row r="1038386" ht="10.5" customHeight="1"/>
    <row r="1038387" ht="10.5" customHeight="1"/>
    <row r="1038388" ht="10.5" customHeight="1"/>
    <row r="1038389" ht="10.5" customHeight="1"/>
    <row r="1038390" ht="10.5" customHeight="1"/>
    <row r="1038391" ht="10.5" customHeight="1"/>
    <row r="1038392" ht="10.5" customHeight="1"/>
    <row r="1038393" ht="10.5" customHeight="1"/>
    <row r="1038394" ht="10.5" customHeight="1"/>
    <row r="1038395" ht="10.5" customHeight="1"/>
    <row r="1038396" ht="10.5" customHeight="1"/>
    <row r="1038397" ht="10.5" customHeight="1"/>
    <row r="1038398" ht="10.5" customHeight="1"/>
    <row r="1038399" ht="10.5" customHeight="1"/>
    <row r="1038400" ht="10.5" customHeight="1"/>
    <row r="1038401" ht="10.5" customHeight="1"/>
    <row r="1038402" ht="10.5" customHeight="1"/>
    <row r="1038403" ht="10.5" customHeight="1"/>
    <row r="1038404" ht="10.5" customHeight="1"/>
    <row r="1038405" ht="10.5" customHeight="1"/>
    <row r="1038406" ht="10.5" customHeight="1"/>
    <row r="1038407" ht="10.5" customHeight="1"/>
    <row r="1038408" ht="10.5" customHeight="1"/>
    <row r="1038409" ht="10.5" customHeight="1"/>
    <row r="1038410" ht="10.5" customHeight="1"/>
    <row r="1038411" ht="10.5" customHeight="1"/>
    <row r="1038412" ht="10.5" customHeight="1"/>
    <row r="1038413" ht="10.5" customHeight="1"/>
    <row r="1038414" ht="10.5" customHeight="1"/>
    <row r="1038415" ht="10.5" customHeight="1"/>
    <row r="1038416" ht="10.5" customHeight="1"/>
    <row r="1038417" ht="10.5" customHeight="1"/>
    <row r="1038418" ht="10.5" customHeight="1"/>
    <row r="1038419" ht="10.5" customHeight="1"/>
    <row r="1038420" ht="10.5" customHeight="1"/>
    <row r="1038421" ht="10.5" customHeight="1"/>
    <row r="1038422" ht="10.5" customHeight="1"/>
    <row r="1038423" ht="10.5" customHeight="1"/>
    <row r="1038424" ht="10.5" customHeight="1"/>
    <row r="1038425" ht="10.5" customHeight="1"/>
    <row r="1038426" ht="10.5" customHeight="1"/>
    <row r="1038427" ht="10.5" customHeight="1"/>
    <row r="1038428" ht="10.5" customHeight="1"/>
    <row r="1038429" ht="10.5" customHeight="1"/>
    <row r="1038430" ht="10.5" customHeight="1"/>
    <row r="1038431" ht="10.5" customHeight="1"/>
    <row r="1038432" ht="10.5" customHeight="1"/>
    <row r="1038433" ht="10.5" customHeight="1"/>
    <row r="1038434" ht="10.5" customHeight="1"/>
    <row r="1038435" ht="10.5" customHeight="1"/>
    <row r="1038436" ht="10.5" customHeight="1"/>
    <row r="1038437" ht="10.5" customHeight="1"/>
    <row r="1038438" ht="10.5" customHeight="1"/>
    <row r="1038439" ht="10.5" customHeight="1"/>
    <row r="1038440" ht="10.5" customHeight="1"/>
    <row r="1038441" ht="10.5" customHeight="1"/>
    <row r="1038442" ht="10.5" customHeight="1"/>
    <row r="1038443" ht="10.5" customHeight="1"/>
    <row r="1038444" ht="10.5" customHeight="1"/>
    <row r="1038445" ht="10.5" customHeight="1"/>
    <row r="1038446" ht="10.5" customHeight="1"/>
    <row r="1038447" ht="10.5" customHeight="1"/>
    <row r="1038448" ht="10.5" customHeight="1"/>
    <row r="1038449" ht="10.5" customHeight="1"/>
    <row r="1038450" ht="10.5" customHeight="1"/>
    <row r="1038451" ht="10.5" customHeight="1"/>
    <row r="1038452" ht="10.5" customHeight="1"/>
    <row r="1038453" ht="10.5" customHeight="1"/>
    <row r="1038454" ht="10.5" customHeight="1"/>
    <row r="1038455" ht="10.5" customHeight="1"/>
    <row r="1038456" ht="10.5" customHeight="1"/>
    <row r="1038457" ht="10.5" customHeight="1"/>
    <row r="1038458" ht="10.5" customHeight="1"/>
    <row r="1038459" ht="10.5" customHeight="1"/>
    <row r="1038460" ht="10.5" customHeight="1"/>
    <row r="1038461" ht="10.5" customHeight="1"/>
    <row r="1038462" ht="10.5" customHeight="1"/>
    <row r="1038463" ht="10.5" customHeight="1"/>
    <row r="1038464" ht="10.5" customHeight="1"/>
    <row r="1038465" ht="10.5" customHeight="1"/>
    <row r="1038466" ht="10.5" customHeight="1"/>
    <row r="1038467" ht="10.5" customHeight="1"/>
    <row r="1038468" ht="10.5" customHeight="1"/>
    <row r="1038469" ht="10.5" customHeight="1"/>
    <row r="1038470" ht="10.5" customHeight="1"/>
    <row r="1038471" ht="10.5" customHeight="1"/>
    <row r="1038472" ht="10.5" customHeight="1"/>
    <row r="1038473" ht="10.5" customHeight="1"/>
    <row r="1038474" ht="10.5" customHeight="1"/>
    <row r="1038475" ht="10.5" customHeight="1"/>
    <row r="1038476" ht="10.5" customHeight="1"/>
    <row r="1038477" ht="10.5" customHeight="1"/>
    <row r="1038478" ht="10.5" customHeight="1"/>
    <row r="1038479" ht="10.5" customHeight="1"/>
    <row r="1038480" ht="10.5" customHeight="1"/>
    <row r="1038481" ht="10.5" customHeight="1"/>
    <row r="1038482" ht="10.5" customHeight="1"/>
    <row r="1038483" ht="10.5" customHeight="1"/>
    <row r="1038484" ht="10.5" customHeight="1"/>
    <row r="1038485" ht="10.5" customHeight="1"/>
    <row r="1038486" ht="10.5" customHeight="1"/>
    <row r="1038487" ht="10.5" customHeight="1"/>
    <row r="1038488" ht="10.5" customHeight="1"/>
    <row r="1038489" ht="10.5" customHeight="1"/>
    <row r="1038490" ht="10.5" customHeight="1"/>
    <row r="1038491" ht="10.5" customHeight="1"/>
    <row r="1038492" ht="10.5" customHeight="1"/>
    <row r="1038493" ht="10.5" customHeight="1"/>
    <row r="1038494" ht="10.5" customHeight="1"/>
    <row r="1038495" ht="10.5" customHeight="1"/>
    <row r="1038496" ht="10.5" customHeight="1"/>
    <row r="1038497" ht="10.5" customHeight="1"/>
    <row r="1038498" ht="10.5" customHeight="1"/>
    <row r="1038499" ht="10.5" customHeight="1"/>
    <row r="1038500" ht="10.5" customHeight="1"/>
    <row r="1038501" ht="10.5" customHeight="1"/>
    <row r="1038502" ht="10.5" customHeight="1"/>
    <row r="1038503" ht="10.5" customHeight="1"/>
    <row r="1038504" ht="10.5" customHeight="1"/>
    <row r="1038505" ht="10.5" customHeight="1"/>
    <row r="1038506" ht="10.5" customHeight="1"/>
    <row r="1038507" ht="10.5" customHeight="1"/>
    <row r="1038508" ht="10.5" customHeight="1"/>
    <row r="1038509" ht="10.5" customHeight="1"/>
    <row r="1038510" ht="10.5" customHeight="1"/>
    <row r="1038511" ht="10.5" customHeight="1"/>
    <row r="1038512" ht="10.5" customHeight="1"/>
    <row r="1038513" ht="10.5" customHeight="1"/>
    <row r="1038514" ht="10.5" customHeight="1"/>
    <row r="1038515" ht="10.5" customHeight="1"/>
    <row r="1038516" ht="10.5" customHeight="1"/>
    <row r="1038517" ht="10.5" customHeight="1"/>
    <row r="1038518" ht="10.5" customHeight="1"/>
    <row r="1038519" ht="10.5" customHeight="1"/>
    <row r="1038520" ht="10.5" customHeight="1"/>
    <row r="1038521" ht="10.5" customHeight="1"/>
    <row r="1038522" ht="10.5" customHeight="1"/>
    <row r="1038523" ht="10.5" customHeight="1"/>
    <row r="1038524" ht="10.5" customHeight="1"/>
    <row r="1038525" ht="10.5" customHeight="1"/>
    <row r="1038526" ht="10.5" customHeight="1"/>
    <row r="1038527" ht="10.5" customHeight="1"/>
    <row r="1038528" ht="10.5" customHeight="1"/>
    <row r="1038529" ht="10.5" customHeight="1"/>
    <row r="1038530" ht="10.5" customHeight="1"/>
    <row r="1038531" ht="10.5" customHeight="1"/>
    <row r="1038532" ht="10.5" customHeight="1"/>
    <row r="1038533" ht="10.5" customHeight="1"/>
    <row r="1038534" ht="10.5" customHeight="1"/>
    <row r="1038535" ht="10.5" customHeight="1"/>
    <row r="1038536" ht="10.5" customHeight="1"/>
    <row r="1038537" ht="10.5" customHeight="1"/>
    <row r="1038538" ht="10.5" customHeight="1"/>
    <row r="1038539" ht="10.5" customHeight="1"/>
    <row r="1038540" ht="10.5" customHeight="1"/>
    <row r="1038541" ht="10.5" customHeight="1"/>
    <row r="1038542" ht="10.5" customHeight="1"/>
    <row r="1038543" ht="10.5" customHeight="1"/>
    <row r="1038544" ht="10.5" customHeight="1"/>
    <row r="1038545" ht="10.5" customHeight="1"/>
    <row r="1038546" ht="10.5" customHeight="1"/>
    <row r="1038547" ht="10.5" customHeight="1"/>
    <row r="1038548" ht="10.5" customHeight="1"/>
    <row r="1038549" ht="10.5" customHeight="1"/>
    <row r="1038550" ht="10.5" customHeight="1"/>
    <row r="1038551" ht="10.5" customHeight="1"/>
    <row r="1038552" ht="10.5" customHeight="1"/>
    <row r="1038553" ht="10.5" customHeight="1"/>
    <row r="1038554" ht="10.5" customHeight="1"/>
    <row r="1038555" ht="10.5" customHeight="1"/>
    <row r="1038556" ht="10.5" customHeight="1"/>
    <row r="1038557" ht="10.5" customHeight="1"/>
    <row r="1038558" ht="10.5" customHeight="1"/>
    <row r="1038559" ht="10.5" customHeight="1"/>
    <row r="1038560" ht="10.5" customHeight="1"/>
    <row r="1038561" ht="10.5" customHeight="1"/>
    <row r="1038562" ht="10.5" customHeight="1"/>
    <row r="1038563" ht="10.5" customHeight="1"/>
    <row r="1038564" ht="10.5" customHeight="1"/>
    <row r="1038565" ht="10.5" customHeight="1"/>
    <row r="1038566" ht="10.5" customHeight="1"/>
    <row r="1038567" ht="10.5" customHeight="1"/>
    <row r="1038568" ht="10.5" customHeight="1"/>
    <row r="1038569" ht="10.5" customHeight="1"/>
    <row r="1038570" ht="10.5" customHeight="1"/>
    <row r="1038571" ht="10.5" customHeight="1"/>
    <row r="1038572" ht="10.5" customHeight="1"/>
    <row r="1038573" ht="10.5" customHeight="1"/>
    <row r="1038574" ht="10.5" customHeight="1"/>
    <row r="1038575" ht="10.5" customHeight="1"/>
    <row r="1038576" ht="10.5" customHeight="1"/>
    <row r="1038577" ht="10.5" customHeight="1"/>
    <row r="1038578" ht="10.5" customHeight="1"/>
    <row r="1038579" ht="10.5" customHeight="1"/>
    <row r="1038580" ht="10.5" customHeight="1"/>
    <row r="1038581" ht="10.5" customHeight="1"/>
    <row r="1038582" ht="10.5" customHeight="1"/>
    <row r="1038583" ht="10.5" customHeight="1"/>
    <row r="1038584" ht="10.5" customHeight="1"/>
    <row r="1038585" ht="10.5" customHeight="1"/>
    <row r="1038586" ht="10.5" customHeight="1"/>
    <row r="1038587" ht="10.5" customHeight="1"/>
    <row r="1038588" ht="10.5" customHeight="1"/>
    <row r="1038589" ht="10.5" customHeight="1"/>
    <row r="1038590" ht="10.5" customHeight="1"/>
    <row r="1038591" ht="10.5" customHeight="1"/>
    <row r="1038592" ht="10.5" customHeight="1"/>
    <row r="1038593" ht="10.5" customHeight="1"/>
    <row r="1038594" ht="10.5" customHeight="1"/>
    <row r="1038595" ht="10.5" customHeight="1"/>
    <row r="1038596" ht="10.5" customHeight="1"/>
    <row r="1038597" ht="10.5" customHeight="1"/>
    <row r="1038598" ht="10.5" customHeight="1"/>
    <row r="1038599" ht="10.5" customHeight="1"/>
    <row r="1038600" ht="10.5" customHeight="1"/>
    <row r="1038601" ht="10.5" customHeight="1"/>
    <row r="1038602" ht="10.5" customHeight="1"/>
    <row r="1038603" ht="10.5" customHeight="1"/>
    <row r="1038604" ht="10.5" customHeight="1"/>
    <row r="1038605" ht="10.5" customHeight="1"/>
    <row r="1038606" ht="10.5" customHeight="1"/>
    <row r="1038607" ht="10.5" customHeight="1"/>
    <row r="1038608" ht="10.5" customHeight="1"/>
    <row r="1038609" ht="10.5" customHeight="1"/>
    <row r="1038610" ht="10.5" customHeight="1"/>
    <row r="1038611" ht="10.5" customHeight="1"/>
    <row r="1038612" ht="10.5" customHeight="1"/>
    <row r="1038613" ht="10.5" customHeight="1"/>
    <row r="1038614" ht="10.5" customHeight="1"/>
    <row r="1038615" ht="10.5" customHeight="1"/>
    <row r="1038616" ht="10.5" customHeight="1"/>
    <row r="1038617" ht="10.5" customHeight="1"/>
    <row r="1038618" ht="10.5" customHeight="1"/>
    <row r="1038619" ht="10.5" customHeight="1"/>
    <row r="1038620" ht="10.5" customHeight="1"/>
    <row r="1038621" ht="10.5" customHeight="1"/>
    <row r="1038622" ht="10.5" customHeight="1"/>
    <row r="1038623" ht="10.5" customHeight="1"/>
    <row r="1038624" ht="10.5" customHeight="1"/>
    <row r="1038625" ht="10.5" customHeight="1"/>
    <row r="1038626" ht="10.5" customHeight="1"/>
    <row r="1038627" ht="10.5" customHeight="1"/>
    <row r="1038628" ht="10.5" customHeight="1"/>
    <row r="1038629" ht="10.5" customHeight="1"/>
    <row r="1038630" ht="10.5" customHeight="1"/>
    <row r="1038631" ht="10.5" customHeight="1"/>
    <row r="1038632" ht="10.5" customHeight="1"/>
    <row r="1038633" ht="10.5" customHeight="1"/>
    <row r="1038634" ht="10.5" customHeight="1"/>
    <row r="1038635" ht="10.5" customHeight="1"/>
    <row r="1038636" ht="10.5" customHeight="1"/>
    <row r="1038637" ht="10.5" customHeight="1"/>
    <row r="1038638" ht="10.5" customHeight="1"/>
    <row r="1038639" ht="10.5" customHeight="1"/>
    <row r="1038640" ht="10.5" customHeight="1"/>
    <row r="1038641" ht="10.5" customHeight="1"/>
    <row r="1038642" ht="10.5" customHeight="1"/>
    <row r="1038643" ht="10.5" customHeight="1"/>
    <row r="1038644" ht="10.5" customHeight="1"/>
    <row r="1038645" ht="10.5" customHeight="1"/>
    <row r="1038646" ht="10.5" customHeight="1"/>
    <row r="1038647" ht="10.5" customHeight="1"/>
    <row r="1038648" ht="10.5" customHeight="1"/>
    <row r="1038649" ht="10.5" customHeight="1"/>
    <row r="1038650" ht="10.5" customHeight="1"/>
    <row r="1038651" ht="10.5" customHeight="1"/>
    <row r="1038652" ht="10.5" customHeight="1"/>
    <row r="1038653" ht="10.5" customHeight="1"/>
    <row r="1038654" ht="10.5" customHeight="1"/>
    <row r="1038655" ht="10.5" customHeight="1"/>
    <row r="1038656" ht="10.5" customHeight="1"/>
    <row r="1038657" ht="10.5" customHeight="1"/>
    <row r="1038658" ht="10.5" customHeight="1"/>
    <row r="1038659" ht="10.5" customHeight="1"/>
    <row r="1038660" ht="10.5" customHeight="1"/>
    <row r="1038661" ht="10.5" customHeight="1"/>
    <row r="1038662" ht="10.5" customHeight="1"/>
    <row r="1038663" ht="10.5" customHeight="1"/>
    <row r="1038664" ht="10.5" customHeight="1"/>
    <row r="1038665" ht="10.5" customHeight="1"/>
    <row r="1038666" ht="10.5" customHeight="1"/>
    <row r="1038667" ht="10.5" customHeight="1"/>
    <row r="1038668" ht="10.5" customHeight="1"/>
    <row r="1038669" ht="10.5" customHeight="1"/>
    <row r="1038670" ht="10.5" customHeight="1"/>
    <row r="1038671" ht="10.5" customHeight="1"/>
    <row r="1038672" ht="10.5" customHeight="1"/>
    <row r="1038673" ht="10.5" customHeight="1"/>
    <row r="1038674" ht="10.5" customHeight="1"/>
    <row r="1038675" ht="10.5" customHeight="1"/>
    <row r="1038676" ht="10.5" customHeight="1"/>
    <row r="1038677" ht="10.5" customHeight="1"/>
    <row r="1038678" ht="10.5" customHeight="1"/>
    <row r="1038679" ht="10.5" customHeight="1"/>
    <row r="1038680" ht="10.5" customHeight="1"/>
    <row r="1038681" ht="10.5" customHeight="1"/>
    <row r="1038682" ht="10.5" customHeight="1"/>
    <row r="1038683" ht="10.5" customHeight="1"/>
    <row r="1038684" ht="10.5" customHeight="1"/>
    <row r="1038685" ht="10.5" customHeight="1"/>
    <row r="1038686" ht="10.5" customHeight="1"/>
    <row r="1038687" ht="10.5" customHeight="1"/>
    <row r="1038688" ht="10.5" customHeight="1"/>
    <row r="1038689" ht="10.5" customHeight="1"/>
    <row r="1038690" ht="10.5" customHeight="1"/>
    <row r="1038691" ht="10.5" customHeight="1"/>
    <row r="1038692" ht="10.5" customHeight="1"/>
    <row r="1038693" ht="10.5" customHeight="1"/>
    <row r="1038694" ht="10.5" customHeight="1"/>
    <row r="1038695" ht="10.5" customHeight="1"/>
    <row r="1038696" ht="10.5" customHeight="1"/>
    <row r="1038697" ht="10.5" customHeight="1"/>
    <row r="1038698" ht="10.5" customHeight="1"/>
    <row r="1038699" ht="10.5" customHeight="1"/>
    <row r="1038700" ht="10.5" customHeight="1"/>
    <row r="1038701" ht="10.5" customHeight="1"/>
    <row r="1038702" ht="10.5" customHeight="1"/>
    <row r="1038703" ht="10.5" customHeight="1"/>
    <row r="1038704" ht="10.5" customHeight="1"/>
    <row r="1038705" ht="10.5" customHeight="1"/>
    <row r="1038706" ht="10.5" customHeight="1"/>
    <row r="1038707" ht="10.5" customHeight="1"/>
    <row r="1038708" ht="10.5" customHeight="1"/>
    <row r="1038709" ht="10.5" customHeight="1"/>
    <row r="1038710" ht="10.5" customHeight="1"/>
    <row r="1038711" ht="10.5" customHeight="1"/>
    <row r="1038712" ht="10.5" customHeight="1"/>
    <row r="1038713" ht="10.5" customHeight="1"/>
    <row r="1038714" ht="10.5" customHeight="1"/>
    <row r="1038715" ht="10.5" customHeight="1"/>
    <row r="1038716" ht="10.5" customHeight="1"/>
    <row r="1038717" ht="10.5" customHeight="1"/>
    <row r="1038718" ht="10.5" customHeight="1"/>
    <row r="1038719" ht="10.5" customHeight="1"/>
    <row r="1038720" ht="10.5" customHeight="1"/>
    <row r="1038721" ht="10.5" customHeight="1"/>
    <row r="1038722" ht="10.5" customHeight="1"/>
    <row r="1038723" ht="10.5" customHeight="1"/>
    <row r="1038724" ht="10.5" customHeight="1"/>
    <row r="1038725" ht="10.5" customHeight="1"/>
    <row r="1038726" ht="10.5" customHeight="1"/>
    <row r="1038727" ht="10.5" customHeight="1"/>
    <row r="1038728" ht="10.5" customHeight="1"/>
    <row r="1038729" ht="10.5" customHeight="1"/>
    <row r="1038730" ht="10.5" customHeight="1"/>
    <row r="1038731" ht="10.5" customHeight="1"/>
    <row r="1038732" ht="10.5" customHeight="1"/>
    <row r="1038733" ht="10.5" customHeight="1"/>
    <row r="1038734" ht="10.5" customHeight="1"/>
    <row r="1038735" ht="10.5" customHeight="1"/>
    <row r="1038736" ht="10.5" customHeight="1"/>
    <row r="1038737" ht="10.5" customHeight="1"/>
    <row r="1038738" ht="10.5" customHeight="1"/>
    <row r="1038739" ht="10.5" customHeight="1"/>
    <row r="1038740" ht="10.5" customHeight="1"/>
    <row r="1038741" ht="10.5" customHeight="1"/>
    <row r="1038742" ht="10.5" customHeight="1"/>
    <row r="1038743" ht="10.5" customHeight="1"/>
    <row r="1038744" ht="10.5" customHeight="1"/>
    <row r="1038745" ht="10.5" customHeight="1"/>
    <row r="1038746" ht="10.5" customHeight="1"/>
    <row r="1038747" ht="10.5" customHeight="1"/>
    <row r="1038748" ht="10.5" customHeight="1"/>
    <row r="1038749" ht="10.5" customHeight="1"/>
    <row r="1038750" ht="10.5" customHeight="1"/>
    <row r="1038751" ht="10.5" customHeight="1"/>
    <row r="1038752" ht="10.5" customHeight="1"/>
    <row r="1038753" ht="10.5" customHeight="1"/>
    <row r="1038754" ht="10.5" customHeight="1"/>
    <row r="1038755" ht="10.5" customHeight="1"/>
    <row r="1038756" ht="10.5" customHeight="1"/>
    <row r="1038757" ht="10.5" customHeight="1"/>
    <row r="1038758" ht="10.5" customHeight="1"/>
    <row r="1038759" ht="10.5" customHeight="1"/>
    <row r="1038760" ht="10.5" customHeight="1"/>
    <row r="1038761" ht="10.5" customHeight="1"/>
    <row r="1038762" ht="10.5" customHeight="1"/>
    <row r="1038763" ht="10.5" customHeight="1"/>
    <row r="1038764" ht="10.5" customHeight="1"/>
    <row r="1038765" ht="10.5" customHeight="1"/>
    <row r="1038766" ht="10.5" customHeight="1"/>
    <row r="1038767" ht="10.5" customHeight="1"/>
    <row r="1038768" ht="10.5" customHeight="1"/>
    <row r="1038769" ht="10.5" customHeight="1"/>
    <row r="1038770" ht="10.5" customHeight="1"/>
    <row r="1038771" ht="10.5" customHeight="1"/>
    <row r="1038772" ht="10.5" customHeight="1"/>
    <row r="1038773" ht="10.5" customHeight="1"/>
    <row r="1038774" ht="10.5" customHeight="1"/>
    <row r="1038775" ht="10.5" customHeight="1"/>
    <row r="1038776" ht="10.5" customHeight="1"/>
    <row r="1038777" ht="10.5" customHeight="1"/>
    <row r="1038778" ht="10.5" customHeight="1"/>
    <row r="1038779" ht="10.5" customHeight="1"/>
    <row r="1038780" ht="10.5" customHeight="1"/>
    <row r="1038781" ht="10.5" customHeight="1"/>
    <row r="1038782" ht="10.5" customHeight="1"/>
    <row r="1038783" ht="10.5" customHeight="1"/>
    <row r="1038784" ht="10.5" customHeight="1"/>
    <row r="1038785" ht="10.5" customHeight="1"/>
    <row r="1038786" ht="10.5" customHeight="1"/>
    <row r="1038787" ht="10.5" customHeight="1"/>
    <row r="1038788" ht="10.5" customHeight="1"/>
    <row r="1038789" ht="10.5" customHeight="1"/>
    <row r="1038790" ht="10.5" customHeight="1"/>
    <row r="1038791" ht="10.5" customHeight="1"/>
    <row r="1038792" ht="10.5" customHeight="1"/>
    <row r="1038793" ht="10.5" customHeight="1"/>
    <row r="1038794" ht="10.5" customHeight="1"/>
    <row r="1038795" ht="10.5" customHeight="1"/>
    <row r="1038796" ht="10.5" customHeight="1"/>
    <row r="1038797" ht="10.5" customHeight="1"/>
    <row r="1038798" ht="10.5" customHeight="1"/>
    <row r="1038799" ht="10.5" customHeight="1"/>
    <row r="1038800" ht="10.5" customHeight="1"/>
    <row r="1038801" ht="10.5" customHeight="1"/>
    <row r="1038802" ht="10.5" customHeight="1"/>
    <row r="1038803" ht="10.5" customHeight="1"/>
    <row r="1038804" ht="10.5" customHeight="1"/>
    <row r="1038805" ht="10.5" customHeight="1"/>
    <row r="1038806" ht="10.5" customHeight="1"/>
    <row r="1038807" ht="10.5" customHeight="1"/>
    <row r="1038808" ht="10.5" customHeight="1"/>
    <row r="1038809" ht="10.5" customHeight="1"/>
    <row r="1038810" ht="10.5" customHeight="1"/>
    <row r="1038811" ht="10.5" customHeight="1"/>
    <row r="1038812" ht="10.5" customHeight="1"/>
    <row r="1038813" ht="10.5" customHeight="1"/>
    <row r="1038814" ht="10.5" customHeight="1"/>
    <row r="1038815" ht="10.5" customHeight="1"/>
    <row r="1038816" ht="10.5" customHeight="1"/>
    <row r="1038817" ht="10.5" customHeight="1"/>
    <row r="1038818" ht="10.5" customHeight="1"/>
    <row r="1038819" ht="10.5" customHeight="1"/>
    <row r="1038820" ht="10.5" customHeight="1"/>
    <row r="1038821" ht="10.5" customHeight="1"/>
    <row r="1038822" ht="10.5" customHeight="1"/>
    <row r="1038823" ht="10.5" customHeight="1"/>
    <row r="1038824" ht="10.5" customHeight="1"/>
    <row r="1038825" ht="10.5" customHeight="1"/>
    <row r="1038826" ht="10.5" customHeight="1"/>
    <row r="1038827" ht="10.5" customHeight="1"/>
    <row r="1038828" ht="10.5" customHeight="1"/>
    <row r="1038829" ht="10.5" customHeight="1"/>
    <row r="1038830" ht="10.5" customHeight="1"/>
    <row r="1038831" ht="10.5" customHeight="1"/>
    <row r="1038832" ht="10.5" customHeight="1"/>
    <row r="1038833" ht="10.5" customHeight="1"/>
    <row r="1038834" ht="10.5" customHeight="1"/>
    <row r="1038835" ht="10.5" customHeight="1"/>
    <row r="1038836" ht="10.5" customHeight="1"/>
    <row r="1038837" ht="10.5" customHeight="1"/>
    <row r="1038838" ht="10.5" customHeight="1"/>
    <row r="1038839" ht="10.5" customHeight="1"/>
    <row r="1038840" ht="10.5" customHeight="1"/>
    <row r="1038841" ht="10.5" customHeight="1"/>
    <row r="1038842" ht="10.5" customHeight="1"/>
    <row r="1038843" ht="10.5" customHeight="1"/>
    <row r="1038844" ht="10.5" customHeight="1"/>
    <row r="1038845" ht="10.5" customHeight="1"/>
    <row r="1038846" ht="10.5" customHeight="1"/>
    <row r="1038847" ht="10.5" customHeight="1"/>
    <row r="1038848" ht="10.5" customHeight="1"/>
    <row r="1038849" ht="10.5" customHeight="1"/>
    <row r="1038850" ht="10.5" customHeight="1"/>
    <row r="1038851" ht="10.5" customHeight="1"/>
    <row r="1038852" ht="10.5" customHeight="1"/>
    <row r="1038853" ht="10.5" customHeight="1"/>
    <row r="1038854" ht="10.5" customHeight="1"/>
    <row r="1038855" ht="10.5" customHeight="1"/>
    <row r="1038856" ht="10.5" customHeight="1"/>
    <row r="1038857" ht="10.5" customHeight="1"/>
    <row r="1038858" ht="10.5" customHeight="1"/>
    <row r="1038859" ht="10.5" customHeight="1"/>
    <row r="1038860" ht="10.5" customHeight="1"/>
    <row r="1038861" ht="10.5" customHeight="1"/>
    <row r="1038862" ht="10.5" customHeight="1"/>
    <row r="1038863" ht="10.5" customHeight="1"/>
    <row r="1038864" ht="10.5" customHeight="1"/>
    <row r="1038865" ht="10.5" customHeight="1"/>
    <row r="1038866" ht="10.5" customHeight="1"/>
    <row r="1038867" ht="10.5" customHeight="1"/>
    <row r="1038868" ht="10.5" customHeight="1"/>
    <row r="1038869" ht="10.5" customHeight="1"/>
    <row r="1038870" ht="10.5" customHeight="1"/>
    <row r="1038871" ht="10.5" customHeight="1"/>
    <row r="1038872" ht="10.5" customHeight="1"/>
    <row r="1038873" ht="10.5" customHeight="1"/>
    <row r="1038874" ht="10.5" customHeight="1"/>
    <row r="1038875" ht="10.5" customHeight="1"/>
    <row r="1038876" ht="10.5" customHeight="1"/>
    <row r="1038877" ht="10.5" customHeight="1"/>
    <row r="1038878" ht="10.5" customHeight="1"/>
    <row r="1038879" ht="10.5" customHeight="1"/>
    <row r="1038880" ht="10.5" customHeight="1"/>
    <row r="1038881" ht="10.5" customHeight="1"/>
    <row r="1038882" ht="10.5" customHeight="1"/>
    <row r="1038883" ht="10.5" customHeight="1"/>
    <row r="1038884" ht="10.5" customHeight="1"/>
    <row r="1038885" ht="10.5" customHeight="1"/>
    <row r="1038886" ht="10.5" customHeight="1"/>
    <row r="1038887" ht="10.5" customHeight="1"/>
    <row r="1038888" ht="10.5" customHeight="1"/>
    <row r="1038889" ht="10.5" customHeight="1"/>
    <row r="1038890" ht="10.5" customHeight="1"/>
    <row r="1038891" ht="10.5" customHeight="1"/>
    <row r="1038892" ht="10.5" customHeight="1"/>
    <row r="1038893" ht="10.5" customHeight="1"/>
    <row r="1038894" ht="10.5" customHeight="1"/>
    <row r="1038895" ht="10.5" customHeight="1"/>
    <row r="1038896" ht="10.5" customHeight="1"/>
    <row r="1038897" ht="10.5" customHeight="1"/>
    <row r="1038898" ht="10.5" customHeight="1"/>
    <row r="1038899" ht="10.5" customHeight="1"/>
    <row r="1038900" ht="10.5" customHeight="1"/>
    <row r="1038901" ht="10.5" customHeight="1"/>
    <row r="1038902" ht="10.5" customHeight="1"/>
    <row r="1038903" ht="10.5" customHeight="1"/>
    <row r="1038904" ht="10.5" customHeight="1"/>
    <row r="1038905" ht="10.5" customHeight="1"/>
    <row r="1038906" ht="10.5" customHeight="1"/>
    <row r="1038907" ht="10.5" customHeight="1"/>
    <row r="1038908" ht="10.5" customHeight="1"/>
    <row r="1038909" ht="10.5" customHeight="1"/>
    <row r="1038910" ht="10.5" customHeight="1"/>
    <row r="1038911" ht="10.5" customHeight="1"/>
    <row r="1038912" ht="10.5" customHeight="1"/>
    <row r="1038913" ht="10.5" customHeight="1"/>
    <row r="1038914" ht="10.5" customHeight="1"/>
    <row r="1038915" ht="10.5" customHeight="1"/>
    <row r="1038916" ht="10.5" customHeight="1"/>
    <row r="1038917" ht="10.5" customHeight="1"/>
    <row r="1038918" ht="10.5" customHeight="1"/>
    <row r="1038919" ht="10.5" customHeight="1"/>
    <row r="1038920" ht="10.5" customHeight="1"/>
    <row r="1038921" ht="10.5" customHeight="1"/>
    <row r="1038922" ht="10.5" customHeight="1"/>
    <row r="1038923" ht="10.5" customHeight="1"/>
    <row r="1038924" ht="10.5" customHeight="1"/>
    <row r="1038925" ht="10.5" customHeight="1"/>
    <row r="1038926" ht="10.5" customHeight="1"/>
    <row r="1038927" ht="10.5" customHeight="1"/>
    <row r="1038928" ht="10.5" customHeight="1"/>
    <row r="1038929" ht="10.5" customHeight="1"/>
    <row r="1038930" ht="10.5" customHeight="1"/>
    <row r="1038931" ht="10.5" customHeight="1"/>
    <row r="1038932" ht="10.5" customHeight="1"/>
    <row r="1038933" ht="10.5" customHeight="1"/>
    <row r="1038934" ht="10.5" customHeight="1"/>
    <row r="1038935" ht="10.5" customHeight="1"/>
    <row r="1038936" ht="10.5" customHeight="1"/>
    <row r="1038937" ht="10.5" customHeight="1"/>
    <row r="1038938" ht="10.5" customHeight="1"/>
    <row r="1038939" ht="10.5" customHeight="1"/>
    <row r="1038940" ht="10.5" customHeight="1"/>
    <row r="1038941" ht="10.5" customHeight="1"/>
    <row r="1038942" ht="10.5" customHeight="1"/>
    <row r="1038943" ht="10.5" customHeight="1"/>
    <row r="1038944" ht="10.5" customHeight="1"/>
    <row r="1038945" ht="10.5" customHeight="1"/>
    <row r="1038946" ht="10.5" customHeight="1"/>
    <row r="1038947" ht="10.5" customHeight="1"/>
    <row r="1038948" ht="10.5" customHeight="1"/>
    <row r="1038949" ht="10.5" customHeight="1"/>
    <row r="1038950" ht="10.5" customHeight="1"/>
    <row r="1038951" ht="10.5" customHeight="1"/>
    <row r="1038952" ht="10.5" customHeight="1"/>
    <row r="1038953" ht="10.5" customHeight="1"/>
    <row r="1038954" ht="10.5" customHeight="1"/>
    <row r="1038955" ht="10.5" customHeight="1"/>
    <row r="1038956" ht="10.5" customHeight="1"/>
    <row r="1038957" ht="10.5" customHeight="1"/>
    <row r="1038958" ht="10.5" customHeight="1"/>
    <row r="1038959" ht="10.5" customHeight="1"/>
    <row r="1038960" ht="10.5" customHeight="1"/>
    <row r="1038961" ht="10.5" customHeight="1"/>
    <row r="1038962" ht="10.5" customHeight="1"/>
    <row r="1038963" ht="10.5" customHeight="1"/>
    <row r="1038964" ht="10.5" customHeight="1"/>
    <row r="1038965" ht="10.5" customHeight="1"/>
    <row r="1038966" ht="10.5" customHeight="1"/>
    <row r="1038967" ht="10.5" customHeight="1"/>
    <row r="1038968" ht="10.5" customHeight="1"/>
    <row r="1038969" ht="10.5" customHeight="1"/>
    <row r="1038970" ht="10.5" customHeight="1"/>
    <row r="1038971" ht="10.5" customHeight="1"/>
    <row r="1038972" ht="10.5" customHeight="1"/>
    <row r="1038973" ht="10.5" customHeight="1"/>
    <row r="1038974" ht="10.5" customHeight="1"/>
    <row r="1038975" ht="10.5" customHeight="1"/>
    <row r="1038976" ht="10.5" customHeight="1"/>
    <row r="1038977" ht="10.5" customHeight="1"/>
    <row r="1038978" ht="10.5" customHeight="1"/>
    <row r="1038979" ht="10.5" customHeight="1"/>
    <row r="1038980" ht="10.5" customHeight="1"/>
    <row r="1038981" ht="10.5" customHeight="1"/>
    <row r="1038982" ht="10.5" customHeight="1"/>
    <row r="1038983" ht="10.5" customHeight="1"/>
    <row r="1038984" ht="10.5" customHeight="1"/>
    <row r="1038985" ht="10.5" customHeight="1"/>
    <row r="1038986" ht="10.5" customHeight="1"/>
    <row r="1038987" ht="10.5" customHeight="1"/>
    <row r="1038988" ht="10.5" customHeight="1"/>
    <row r="1038989" ht="10.5" customHeight="1"/>
    <row r="1038990" ht="10.5" customHeight="1"/>
    <row r="1038991" ht="10.5" customHeight="1"/>
    <row r="1038992" ht="10.5" customHeight="1"/>
    <row r="1038993" ht="10.5" customHeight="1"/>
    <row r="1038994" ht="10.5" customHeight="1"/>
    <row r="1038995" ht="10.5" customHeight="1"/>
    <row r="1038996" ht="10.5" customHeight="1"/>
    <row r="1038997" ht="10.5" customHeight="1"/>
    <row r="1038998" ht="10.5" customHeight="1"/>
    <row r="1038999" ht="10.5" customHeight="1"/>
    <row r="1039000" ht="10.5" customHeight="1"/>
    <row r="1039001" ht="10.5" customHeight="1"/>
    <row r="1039002" ht="10.5" customHeight="1"/>
    <row r="1039003" ht="10.5" customHeight="1"/>
    <row r="1039004" ht="10.5" customHeight="1"/>
    <row r="1039005" ht="10.5" customHeight="1"/>
    <row r="1039006" ht="10.5" customHeight="1"/>
    <row r="1039007" ht="10.5" customHeight="1"/>
    <row r="1039008" ht="10.5" customHeight="1"/>
    <row r="1039009" ht="10.5" customHeight="1"/>
    <row r="1039010" ht="10.5" customHeight="1"/>
    <row r="1039011" ht="10.5" customHeight="1"/>
    <row r="1039012" ht="10.5" customHeight="1"/>
    <row r="1039013" ht="10.5" customHeight="1"/>
    <row r="1039014" ht="10.5" customHeight="1"/>
    <row r="1039015" ht="10.5" customHeight="1"/>
    <row r="1039016" ht="10.5" customHeight="1"/>
    <row r="1039017" ht="10.5" customHeight="1"/>
    <row r="1039018" ht="10.5" customHeight="1"/>
    <row r="1039019" ht="10.5" customHeight="1"/>
    <row r="1039020" ht="10.5" customHeight="1"/>
    <row r="1039021" ht="10.5" customHeight="1"/>
    <row r="1039022" ht="10.5" customHeight="1"/>
    <row r="1039023" ht="10.5" customHeight="1"/>
    <row r="1039024" ht="10.5" customHeight="1"/>
    <row r="1039025" ht="10.5" customHeight="1"/>
    <row r="1039026" ht="10.5" customHeight="1"/>
    <row r="1039027" ht="10.5" customHeight="1"/>
    <row r="1039028" ht="10.5" customHeight="1"/>
    <row r="1039029" ht="10.5" customHeight="1"/>
    <row r="1039030" ht="10.5" customHeight="1"/>
    <row r="1039031" ht="10.5" customHeight="1"/>
    <row r="1039032" ht="10.5" customHeight="1"/>
    <row r="1039033" ht="10.5" customHeight="1"/>
    <row r="1039034" ht="10.5" customHeight="1"/>
    <row r="1039035" ht="10.5" customHeight="1"/>
    <row r="1039036" ht="10.5" customHeight="1"/>
    <row r="1039037" ht="10.5" customHeight="1"/>
    <row r="1039038" ht="10.5" customHeight="1"/>
    <row r="1039039" ht="10.5" customHeight="1"/>
    <row r="1039040" ht="10.5" customHeight="1"/>
    <row r="1039041" ht="10.5" customHeight="1"/>
    <row r="1039042" ht="10.5" customHeight="1"/>
    <row r="1039043" ht="10.5" customHeight="1"/>
    <row r="1039044" ht="10.5" customHeight="1"/>
    <row r="1039045" ht="10.5" customHeight="1"/>
    <row r="1039046" ht="10.5" customHeight="1"/>
    <row r="1039047" ht="10.5" customHeight="1"/>
    <row r="1039048" ht="10.5" customHeight="1"/>
    <row r="1039049" ht="10.5" customHeight="1"/>
    <row r="1039050" ht="10.5" customHeight="1"/>
    <row r="1039051" ht="10.5" customHeight="1"/>
    <row r="1039052" ht="10.5" customHeight="1"/>
    <row r="1039053" ht="10.5" customHeight="1"/>
    <row r="1039054" ht="10.5" customHeight="1"/>
    <row r="1039055" ht="10.5" customHeight="1"/>
    <row r="1039056" ht="10.5" customHeight="1"/>
    <row r="1039057" ht="10.5" customHeight="1"/>
    <row r="1039058" ht="10.5" customHeight="1"/>
    <row r="1039059" ht="10.5" customHeight="1"/>
    <row r="1039060" ht="10.5" customHeight="1"/>
    <row r="1039061" ht="10.5" customHeight="1"/>
    <row r="1039062" ht="10.5" customHeight="1"/>
    <row r="1039063" ht="10.5" customHeight="1"/>
    <row r="1039064" ht="10.5" customHeight="1"/>
    <row r="1039065" ht="10.5" customHeight="1"/>
    <row r="1039066" ht="10.5" customHeight="1"/>
    <row r="1039067" ht="10.5" customHeight="1"/>
    <row r="1039068" ht="10.5" customHeight="1"/>
    <row r="1039069" ht="10.5" customHeight="1"/>
    <row r="1039070" ht="10.5" customHeight="1"/>
    <row r="1039071" ht="10.5" customHeight="1"/>
    <row r="1039072" ht="10.5" customHeight="1"/>
    <row r="1039073" ht="10.5" customHeight="1"/>
    <row r="1039074" ht="10.5" customHeight="1"/>
    <row r="1039075" ht="10.5" customHeight="1"/>
    <row r="1039076" ht="10.5" customHeight="1"/>
    <row r="1039077" ht="10.5" customHeight="1"/>
    <row r="1039078" ht="10.5" customHeight="1"/>
    <row r="1039079" ht="10.5" customHeight="1"/>
    <row r="1039080" ht="10.5" customHeight="1"/>
    <row r="1039081" ht="10.5" customHeight="1"/>
    <row r="1039082" ht="10.5" customHeight="1"/>
    <row r="1039083" ht="10.5" customHeight="1"/>
    <row r="1039084" ht="10.5" customHeight="1"/>
    <row r="1039085" ht="10.5" customHeight="1"/>
    <row r="1039086" ht="10.5" customHeight="1"/>
    <row r="1039087" ht="10.5" customHeight="1"/>
    <row r="1039088" ht="10.5" customHeight="1"/>
    <row r="1039089" ht="10.5" customHeight="1"/>
    <row r="1039090" ht="10.5" customHeight="1"/>
    <row r="1039091" ht="10.5" customHeight="1"/>
    <row r="1039092" ht="10.5" customHeight="1"/>
    <row r="1039093" ht="10.5" customHeight="1"/>
    <row r="1039094" ht="10.5" customHeight="1"/>
    <row r="1039095" ht="10.5" customHeight="1"/>
    <row r="1039096" ht="10.5" customHeight="1"/>
    <row r="1039097" ht="10.5" customHeight="1"/>
    <row r="1039098" ht="10.5" customHeight="1"/>
    <row r="1039099" ht="10.5" customHeight="1"/>
    <row r="1039100" ht="10.5" customHeight="1"/>
    <row r="1039101" ht="10.5" customHeight="1"/>
    <row r="1039102" ht="10.5" customHeight="1"/>
    <row r="1039103" ht="10.5" customHeight="1"/>
    <row r="1039104" ht="10.5" customHeight="1"/>
    <row r="1039105" ht="10.5" customHeight="1"/>
    <row r="1039106" ht="10.5" customHeight="1"/>
    <row r="1039107" ht="10.5" customHeight="1"/>
    <row r="1039108" ht="10.5" customHeight="1"/>
    <row r="1039109" ht="10.5" customHeight="1"/>
    <row r="1039110" ht="10.5" customHeight="1"/>
    <row r="1039111" ht="10.5" customHeight="1"/>
    <row r="1039112" ht="10.5" customHeight="1"/>
    <row r="1039113" ht="10.5" customHeight="1"/>
    <row r="1039114" ht="10.5" customHeight="1"/>
    <row r="1039115" ht="10.5" customHeight="1"/>
    <row r="1039116" ht="10.5" customHeight="1"/>
    <row r="1039117" ht="10.5" customHeight="1"/>
    <row r="1039118" ht="10.5" customHeight="1"/>
    <row r="1039119" ht="10.5" customHeight="1"/>
    <row r="1039120" ht="10.5" customHeight="1"/>
    <row r="1039121" ht="10.5" customHeight="1"/>
    <row r="1039122" ht="10.5" customHeight="1"/>
    <row r="1039123" ht="10.5" customHeight="1"/>
    <row r="1039124" ht="10.5" customHeight="1"/>
    <row r="1039125" ht="10.5" customHeight="1"/>
    <row r="1039126" ht="10.5" customHeight="1"/>
    <row r="1039127" ht="10.5" customHeight="1"/>
    <row r="1039128" ht="10.5" customHeight="1"/>
    <row r="1039129" ht="10.5" customHeight="1"/>
    <row r="1039130" ht="10.5" customHeight="1"/>
    <row r="1039131" ht="10.5" customHeight="1"/>
    <row r="1039132" ht="10.5" customHeight="1"/>
    <row r="1039133" ht="10.5" customHeight="1"/>
    <row r="1039134" ht="10.5" customHeight="1"/>
    <row r="1039135" ht="10.5" customHeight="1"/>
    <row r="1039136" ht="10.5" customHeight="1"/>
    <row r="1039137" ht="10.5" customHeight="1"/>
    <row r="1039138" ht="10.5" customHeight="1"/>
    <row r="1039139" ht="10.5" customHeight="1"/>
    <row r="1039140" ht="10.5" customHeight="1"/>
    <row r="1039141" ht="10.5" customHeight="1"/>
    <row r="1039142" ht="10.5" customHeight="1"/>
    <row r="1039143" ht="10.5" customHeight="1"/>
    <row r="1039144" ht="10.5" customHeight="1"/>
    <row r="1039145" ht="10.5" customHeight="1"/>
    <row r="1039146" ht="10.5" customHeight="1"/>
    <row r="1039147" ht="10.5" customHeight="1"/>
    <row r="1039148" ht="10.5" customHeight="1"/>
    <row r="1039149" ht="10.5" customHeight="1"/>
    <row r="1039150" ht="10.5" customHeight="1"/>
    <row r="1039151" ht="10.5" customHeight="1"/>
    <row r="1039152" ht="10.5" customHeight="1"/>
    <row r="1039153" ht="10.5" customHeight="1"/>
    <row r="1039154" ht="10.5" customHeight="1"/>
    <row r="1039155" ht="10.5" customHeight="1"/>
    <row r="1039156" ht="10.5" customHeight="1"/>
    <row r="1039157" ht="10.5" customHeight="1"/>
    <row r="1039158" ht="10.5" customHeight="1"/>
    <row r="1039159" ht="10.5" customHeight="1"/>
    <row r="1039160" ht="10.5" customHeight="1"/>
    <row r="1039161" ht="10.5" customHeight="1"/>
    <row r="1039162" ht="10.5" customHeight="1"/>
    <row r="1039163" ht="10.5" customHeight="1"/>
    <row r="1039164" ht="10.5" customHeight="1"/>
    <row r="1039165" ht="10.5" customHeight="1"/>
    <row r="1039166" ht="10.5" customHeight="1"/>
    <row r="1039167" ht="10.5" customHeight="1"/>
    <row r="1039168" ht="10.5" customHeight="1"/>
    <row r="1039169" ht="10.5" customHeight="1"/>
    <row r="1039170" ht="10.5" customHeight="1"/>
    <row r="1039171" ht="10.5" customHeight="1"/>
    <row r="1039172" ht="10.5" customHeight="1"/>
    <row r="1039173" ht="10.5" customHeight="1"/>
    <row r="1039174" ht="10.5" customHeight="1"/>
    <row r="1039175" ht="10.5" customHeight="1"/>
    <row r="1039176" ht="10.5" customHeight="1"/>
    <row r="1039177" ht="10.5" customHeight="1"/>
    <row r="1039178" ht="10.5" customHeight="1"/>
    <row r="1039179" ht="10.5" customHeight="1"/>
    <row r="1039180" ht="10.5" customHeight="1"/>
    <row r="1039181" ht="10.5" customHeight="1"/>
    <row r="1039182" ht="10.5" customHeight="1"/>
    <row r="1039183" ht="10.5" customHeight="1"/>
    <row r="1039184" ht="10.5" customHeight="1"/>
    <row r="1039185" ht="10.5" customHeight="1"/>
    <row r="1039186" ht="10.5" customHeight="1"/>
    <row r="1039187" ht="10.5" customHeight="1"/>
    <row r="1039188" ht="10.5" customHeight="1"/>
    <row r="1039189" ht="10.5" customHeight="1"/>
    <row r="1039190" ht="10.5" customHeight="1"/>
    <row r="1039191" ht="10.5" customHeight="1"/>
    <row r="1039192" ht="10.5" customHeight="1"/>
    <row r="1039193" ht="10.5" customHeight="1"/>
    <row r="1039194" ht="10.5" customHeight="1"/>
    <row r="1039195" ht="10.5" customHeight="1"/>
    <row r="1039196" ht="10.5" customHeight="1"/>
    <row r="1039197" ht="10.5" customHeight="1"/>
    <row r="1039198" ht="10.5" customHeight="1"/>
    <row r="1039199" ht="10.5" customHeight="1"/>
    <row r="1039200" ht="10.5" customHeight="1"/>
    <row r="1039201" ht="10.5" customHeight="1"/>
    <row r="1039202" ht="10.5" customHeight="1"/>
    <row r="1039203" ht="10.5" customHeight="1"/>
    <row r="1039204" ht="10.5" customHeight="1"/>
    <row r="1039205" ht="10.5" customHeight="1"/>
    <row r="1039206" ht="10.5" customHeight="1"/>
    <row r="1039207" ht="10.5" customHeight="1"/>
    <row r="1039208" ht="10.5" customHeight="1"/>
    <row r="1039209" ht="10.5" customHeight="1"/>
    <row r="1039210" ht="10.5" customHeight="1"/>
    <row r="1039211" ht="10.5" customHeight="1"/>
    <row r="1039212" ht="10.5" customHeight="1"/>
    <row r="1039213" ht="10.5" customHeight="1"/>
    <row r="1039214" ht="10.5" customHeight="1"/>
    <row r="1039215" ht="10.5" customHeight="1"/>
    <row r="1039216" ht="10.5" customHeight="1"/>
    <row r="1039217" ht="10.5" customHeight="1"/>
    <row r="1039218" ht="10.5" customHeight="1"/>
    <row r="1039219" ht="10.5" customHeight="1"/>
    <row r="1039220" ht="10.5" customHeight="1"/>
    <row r="1039221" ht="10.5" customHeight="1"/>
    <row r="1039222" ht="10.5" customHeight="1"/>
    <row r="1039223" ht="10.5" customHeight="1"/>
    <row r="1039224" ht="10.5" customHeight="1"/>
    <row r="1039225" ht="10.5" customHeight="1"/>
    <row r="1039226" ht="10.5" customHeight="1"/>
    <row r="1039227" ht="10.5" customHeight="1"/>
    <row r="1039228" ht="10.5" customHeight="1"/>
    <row r="1039229" ht="10.5" customHeight="1"/>
    <row r="1039230" ht="10.5" customHeight="1"/>
    <row r="1039231" ht="10.5" customHeight="1"/>
    <row r="1039232" ht="10.5" customHeight="1"/>
    <row r="1039233" ht="10.5" customHeight="1"/>
    <row r="1039234" ht="10.5" customHeight="1"/>
    <row r="1039235" ht="10.5" customHeight="1"/>
    <row r="1039236" ht="10.5" customHeight="1"/>
    <row r="1039237" ht="10.5" customHeight="1"/>
    <row r="1039238" ht="10.5" customHeight="1"/>
    <row r="1039239" ht="10.5" customHeight="1"/>
    <row r="1039240" ht="10.5" customHeight="1"/>
    <row r="1039241" ht="10.5" customHeight="1"/>
    <row r="1039242" ht="10.5" customHeight="1"/>
    <row r="1039243" ht="10.5" customHeight="1"/>
    <row r="1039244" ht="10.5" customHeight="1"/>
    <row r="1039245" ht="10.5" customHeight="1"/>
    <row r="1039246" ht="10.5" customHeight="1"/>
    <row r="1039247" ht="10.5" customHeight="1"/>
    <row r="1039248" ht="10.5" customHeight="1"/>
    <row r="1039249" ht="10.5" customHeight="1"/>
    <row r="1039250" ht="10.5" customHeight="1"/>
    <row r="1039251" ht="10.5" customHeight="1"/>
    <row r="1039252" ht="10.5" customHeight="1"/>
    <row r="1039253" ht="10.5" customHeight="1"/>
    <row r="1039254" ht="10.5" customHeight="1"/>
    <row r="1039255" ht="10.5" customHeight="1"/>
    <row r="1039256" ht="10.5" customHeight="1"/>
    <row r="1039257" ht="10.5" customHeight="1"/>
    <row r="1039258" ht="10.5" customHeight="1"/>
    <row r="1039259" ht="10.5" customHeight="1"/>
    <row r="1039260" ht="10.5" customHeight="1"/>
    <row r="1039261" ht="10.5" customHeight="1"/>
    <row r="1039262" ht="10.5" customHeight="1"/>
    <row r="1039263" ht="10.5" customHeight="1"/>
    <row r="1039264" ht="10.5" customHeight="1"/>
    <row r="1039265" ht="10.5" customHeight="1"/>
    <row r="1039266" ht="10.5" customHeight="1"/>
    <row r="1039267" ht="10.5" customHeight="1"/>
    <row r="1039268" ht="10.5" customHeight="1"/>
    <row r="1039269" ht="10.5" customHeight="1"/>
    <row r="1039270" ht="10.5" customHeight="1"/>
    <row r="1039271" ht="10.5" customHeight="1"/>
    <row r="1039272" ht="10.5" customHeight="1"/>
    <row r="1039273" ht="10.5" customHeight="1"/>
    <row r="1039274" ht="10.5" customHeight="1"/>
    <row r="1039275" ht="10.5" customHeight="1"/>
    <row r="1039276" ht="10.5" customHeight="1"/>
    <row r="1039277" ht="10.5" customHeight="1"/>
    <row r="1039278" ht="10.5" customHeight="1"/>
    <row r="1039279" ht="10.5" customHeight="1"/>
    <row r="1039280" ht="10.5" customHeight="1"/>
    <row r="1039281" ht="10.5" customHeight="1"/>
    <row r="1039282" ht="10.5" customHeight="1"/>
    <row r="1039283" ht="10.5" customHeight="1"/>
    <row r="1039284" ht="10.5" customHeight="1"/>
    <row r="1039285" ht="10.5" customHeight="1"/>
    <row r="1039286" ht="10.5" customHeight="1"/>
    <row r="1039287" ht="10.5" customHeight="1"/>
    <row r="1039288" ht="10.5" customHeight="1"/>
    <row r="1039289" ht="10.5" customHeight="1"/>
    <row r="1039290" ht="10.5" customHeight="1"/>
    <row r="1039291" ht="10.5" customHeight="1"/>
    <row r="1039292" ht="10.5" customHeight="1"/>
    <row r="1039293" ht="10.5" customHeight="1"/>
    <row r="1039294" ht="10.5" customHeight="1"/>
    <row r="1039295" ht="10.5" customHeight="1"/>
    <row r="1039296" ht="10.5" customHeight="1"/>
    <row r="1039297" ht="10.5" customHeight="1"/>
    <row r="1039298" ht="10.5" customHeight="1"/>
    <row r="1039299" ht="10.5" customHeight="1"/>
    <row r="1039300" ht="10.5" customHeight="1"/>
    <row r="1039301" ht="10.5" customHeight="1"/>
    <row r="1039302" ht="10.5" customHeight="1"/>
    <row r="1039303" ht="10.5" customHeight="1"/>
    <row r="1039304" ht="10.5" customHeight="1"/>
    <row r="1039305" ht="10.5" customHeight="1"/>
    <row r="1039306" ht="10.5" customHeight="1"/>
    <row r="1039307" ht="10.5" customHeight="1"/>
    <row r="1039308" ht="10.5" customHeight="1"/>
    <row r="1039309" ht="10.5" customHeight="1"/>
    <row r="1039310" ht="10.5" customHeight="1"/>
    <row r="1039311" ht="10.5" customHeight="1"/>
    <row r="1039312" ht="10.5" customHeight="1"/>
    <row r="1039313" ht="10.5" customHeight="1"/>
    <row r="1039314" ht="10.5" customHeight="1"/>
    <row r="1039315" ht="10.5" customHeight="1"/>
    <row r="1039316" ht="10.5" customHeight="1"/>
    <row r="1039317" ht="10.5" customHeight="1"/>
    <row r="1039318" ht="10.5" customHeight="1"/>
    <row r="1039319" ht="10.5" customHeight="1"/>
    <row r="1039320" ht="10.5" customHeight="1"/>
    <row r="1039321" ht="10.5" customHeight="1"/>
    <row r="1039322" ht="10.5" customHeight="1"/>
    <row r="1039323" ht="10.5" customHeight="1"/>
    <row r="1039324" ht="10.5" customHeight="1"/>
    <row r="1039325" ht="10.5" customHeight="1"/>
    <row r="1039326" ht="10.5" customHeight="1"/>
    <row r="1039327" ht="10.5" customHeight="1"/>
    <row r="1039328" ht="10.5" customHeight="1"/>
    <row r="1039329" ht="10.5" customHeight="1"/>
    <row r="1039330" ht="10.5" customHeight="1"/>
    <row r="1039331" ht="10.5" customHeight="1"/>
    <row r="1039332" ht="10.5" customHeight="1"/>
    <row r="1039333" ht="10.5" customHeight="1"/>
    <row r="1039334" ht="10.5" customHeight="1"/>
    <row r="1039335" ht="10.5" customHeight="1"/>
    <row r="1039336" ht="10.5" customHeight="1"/>
    <row r="1039337" ht="10.5" customHeight="1"/>
    <row r="1039338" ht="10.5" customHeight="1"/>
    <row r="1039339" ht="10.5" customHeight="1"/>
    <row r="1039340" ht="10.5" customHeight="1"/>
    <row r="1039341" ht="10.5" customHeight="1"/>
    <row r="1039342" ht="10.5" customHeight="1"/>
    <row r="1039343" ht="10.5" customHeight="1"/>
    <row r="1039344" ht="10.5" customHeight="1"/>
    <row r="1039345" ht="10.5" customHeight="1"/>
    <row r="1039346" ht="10.5" customHeight="1"/>
    <row r="1039347" ht="10.5" customHeight="1"/>
    <row r="1039348" ht="10.5" customHeight="1"/>
    <row r="1039349" ht="10.5" customHeight="1"/>
    <row r="1039350" ht="10.5" customHeight="1"/>
    <row r="1039351" ht="10.5" customHeight="1"/>
    <row r="1039352" ht="10.5" customHeight="1"/>
    <row r="1039353" ht="10.5" customHeight="1"/>
    <row r="1039354" ht="10.5" customHeight="1"/>
    <row r="1039355" ht="10.5" customHeight="1"/>
    <row r="1039356" ht="10.5" customHeight="1"/>
    <row r="1039357" ht="10.5" customHeight="1"/>
    <row r="1039358" ht="10.5" customHeight="1"/>
    <row r="1039359" ht="10.5" customHeight="1"/>
    <row r="1039360" ht="10.5" customHeight="1"/>
    <row r="1039361" ht="10.5" customHeight="1"/>
    <row r="1039362" ht="10.5" customHeight="1"/>
    <row r="1039363" ht="10.5" customHeight="1"/>
    <row r="1039364" ht="10.5" customHeight="1"/>
    <row r="1039365" ht="10.5" customHeight="1"/>
    <row r="1039366" ht="10.5" customHeight="1"/>
    <row r="1039367" ht="10.5" customHeight="1"/>
    <row r="1039368" ht="10.5" customHeight="1"/>
    <row r="1039369" ht="10.5" customHeight="1"/>
    <row r="1039370" ht="10.5" customHeight="1"/>
    <row r="1039371" ht="10.5" customHeight="1"/>
    <row r="1039372" ht="10.5" customHeight="1"/>
    <row r="1039373" ht="10.5" customHeight="1"/>
    <row r="1039374" ht="10.5" customHeight="1"/>
    <row r="1039375" ht="10.5" customHeight="1"/>
    <row r="1039376" ht="10.5" customHeight="1"/>
    <row r="1039377" ht="10.5" customHeight="1"/>
    <row r="1039378" ht="10.5" customHeight="1"/>
    <row r="1039379" ht="10.5" customHeight="1"/>
    <row r="1039380" ht="10.5" customHeight="1"/>
    <row r="1039381" ht="10.5" customHeight="1"/>
    <row r="1039382" ht="10.5" customHeight="1"/>
    <row r="1039383" ht="10.5" customHeight="1"/>
    <row r="1039384" ht="10.5" customHeight="1"/>
    <row r="1039385" ht="10.5" customHeight="1"/>
    <row r="1039386" ht="10.5" customHeight="1"/>
    <row r="1039387" ht="10.5" customHeight="1"/>
    <row r="1039388" ht="10.5" customHeight="1"/>
    <row r="1039389" ht="10.5" customHeight="1"/>
    <row r="1039390" ht="10.5" customHeight="1"/>
    <row r="1039391" ht="10.5" customHeight="1"/>
    <row r="1039392" ht="10.5" customHeight="1"/>
    <row r="1039393" ht="10.5" customHeight="1"/>
    <row r="1039394" ht="10.5" customHeight="1"/>
    <row r="1039395" ht="10.5" customHeight="1"/>
    <row r="1039396" ht="10.5" customHeight="1"/>
    <row r="1039397" ht="10.5" customHeight="1"/>
    <row r="1039398" ht="10.5" customHeight="1"/>
    <row r="1039399" ht="10.5" customHeight="1"/>
    <row r="1039400" ht="10.5" customHeight="1"/>
    <row r="1039401" ht="10.5" customHeight="1"/>
    <row r="1039402" ht="10.5" customHeight="1"/>
    <row r="1039403" ht="10.5" customHeight="1"/>
    <row r="1039404" ht="10.5" customHeight="1"/>
    <row r="1039405" ht="10.5" customHeight="1"/>
    <row r="1039406" ht="10.5" customHeight="1"/>
    <row r="1039407" ht="10.5" customHeight="1"/>
    <row r="1039408" ht="10.5" customHeight="1"/>
    <row r="1039409" ht="10.5" customHeight="1"/>
    <row r="1039410" ht="10.5" customHeight="1"/>
    <row r="1039411" ht="10.5" customHeight="1"/>
    <row r="1039412" ht="10.5" customHeight="1"/>
    <row r="1039413" ht="10.5" customHeight="1"/>
    <row r="1039414" ht="10.5" customHeight="1"/>
    <row r="1039415" ht="10.5" customHeight="1"/>
    <row r="1039416" ht="10.5" customHeight="1"/>
    <row r="1039417" ht="10.5" customHeight="1"/>
    <row r="1039418" ht="10.5" customHeight="1"/>
    <row r="1039419" ht="10.5" customHeight="1"/>
    <row r="1039420" ht="10.5" customHeight="1"/>
    <row r="1039421" ht="10.5" customHeight="1"/>
    <row r="1039422" ht="10.5" customHeight="1"/>
    <row r="1039423" ht="10.5" customHeight="1"/>
    <row r="1039424" ht="10.5" customHeight="1"/>
    <row r="1039425" ht="10.5" customHeight="1"/>
    <row r="1039426" ht="10.5" customHeight="1"/>
    <row r="1039427" ht="10.5" customHeight="1"/>
    <row r="1039428" ht="10.5" customHeight="1"/>
    <row r="1039429" ht="10.5" customHeight="1"/>
    <row r="1039430" ht="10.5" customHeight="1"/>
    <row r="1039431" ht="10.5" customHeight="1"/>
    <row r="1039432" ht="10.5" customHeight="1"/>
    <row r="1039433" ht="10.5" customHeight="1"/>
    <row r="1039434" ht="10.5" customHeight="1"/>
    <row r="1039435" ht="10.5" customHeight="1"/>
    <row r="1039436" ht="10.5" customHeight="1"/>
    <row r="1039437" ht="10.5" customHeight="1"/>
    <row r="1039438" ht="10.5" customHeight="1"/>
    <row r="1039439" ht="10.5" customHeight="1"/>
    <row r="1039440" ht="10.5" customHeight="1"/>
    <row r="1039441" ht="10.5" customHeight="1"/>
    <row r="1039442" ht="10.5" customHeight="1"/>
    <row r="1039443" ht="10.5" customHeight="1"/>
    <row r="1039444" ht="10.5" customHeight="1"/>
    <row r="1039445" ht="10.5" customHeight="1"/>
    <row r="1039446" ht="10.5" customHeight="1"/>
    <row r="1039447" ht="10.5" customHeight="1"/>
    <row r="1039448" ht="10.5" customHeight="1"/>
    <row r="1039449" ht="10.5" customHeight="1"/>
    <row r="1039450" ht="10.5" customHeight="1"/>
    <row r="1039451" ht="10.5" customHeight="1"/>
    <row r="1039452" ht="10.5" customHeight="1"/>
    <row r="1039453" ht="10.5" customHeight="1"/>
    <row r="1039454" ht="10.5" customHeight="1"/>
    <row r="1039455" ht="10.5" customHeight="1"/>
    <row r="1039456" ht="10.5" customHeight="1"/>
    <row r="1039457" ht="10.5" customHeight="1"/>
    <row r="1039458" ht="10.5" customHeight="1"/>
    <row r="1039459" ht="10.5" customHeight="1"/>
    <row r="1039460" ht="10.5" customHeight="1"/>
    <row r="1039461" ht="10.5" customHeight="1"/>
    <row r="1039462" ht="10.5" customHeight="1"/>
    <row r="1039463" ht="10.5" customHeight="1"/>
    <row r="1039464" ht="10.5" customHeight="1"/>
    <row r="1039465" ht="10.5" customHeight="1"/>
    <row r="1039466" ht="10.5" customHeight="1"/>
    <row r="1039467" ht="10.5" customHeight="1"/>
    <row r="1039468" ht="10.5" customHeight="1"/>
    <row r="1039469" ht="10.5" customHeight="1"/>
    <row r="1039470" ht="10.5" customHeight="1"/>
    <row r="1039471" ht="10.5" customHeight="1"/>
    <row r="1039472" ht="10.5" customHeight="1"/>
    <row r="1039473" ht="10.5" customHeight="1"/>
    <row r="1039474" ht="10.5" customHeight="1"/>
    <row r="1039475" ht="10.5" customHeight="1"/>
    <row r="1039476" ht="10.5" customHeight="1"/>
    <row r="1039477" ht="10.5" customHeight="1"/>
    <row r="1039478" ht="10.5" customHeight="1"/>
    <row r="1039479" ht="10.5" customHeight="1"/>
    <row r="1039480" ht="10.5" customHeight="1"/>
    <row r="1039481" ht="10.5" customHeight="1"/>
    <row r="1039482" ht="10.5" customHeight="1"/>
    <row r="1039483" ht="10.5" customHeight="1"/>
    <row r="1039484" ht="10.5" customHeight="1"/>
    <row r="1039485" ht="10.5" customHeight="1"/>
    <row r="1039486" ht="10.5" customHeight="1"/>
    <row r="1039487" ht="10.5" customHeight="1"/>
    <row r="1039488" ht="10.5" customHeight="1"/>
    <row r="1039489" ht="10.5" customHeight="1"/>
    <row r="1039490" ht="10.5" customHeight="1"/>
    <row r="1039491" ht="10.5" customHeight="1"/>
    <row r="1039492" ht="10.5" customHeight="1"/>
    <row r="1039493" ht="10.5" customHeight="1"/>
    <row r="1039494" ht="10.5" customHeight="1"/>
    <row r="1039495" ht="10.5" customHeight="1"/>
    <row r="1039496" ht="10.5" customHeight="1"/>
    <row r="1039497" ht="10.5" customHeight="1"/>
    <row r="1039498" ht="10.5" customHeight="1"/>
    <row r="1039499" ht="10.5" customHeight="1"/>
    <row r="1039500" ht="10.5" customHeight="1"/>
    <row r="1039501" ht="10.5" customHeight="1"/>
    <row r="1039502" ht="10.5" customHeight="1"/>
    <row r="1039503" ht="10.5" customHeight="1"/>
    <row r="1039504" ht="10.5" customHeight="1"/>
    <row r="1039505" ht="10.5" customHeight="1"/>
    <row r="1039506" ht="10.5" customHeight="1"/>
    <row r="1039507" ht="10.5" customHeight="1"/>
    <row r="1039508" ht="10.5" customHeight="1"/>
    <row r="1039509" ht="10.5" customHeight="1"/>
    <row r="1039510" ht="10.5" customHeight="1"/>
    <row r="1039511" ht="10.5" customHeight="1"/>
    <row r="1039512" ht="10.5" customHeight="1"/>
    <row r="1039513" ht="10.5" customHeight="1"/>
    <row r="1039514" ht="10.5" customHeight="1"/>
    <row r="1039515" ht="10.5" customHeight="1"/>
    <row r="1039516" ht="10.5" customHeight="1"/>
    <row r="1039517" ht="10.5" customHeight="1"/>
    <row r="1039518" ht="10.5" customHeight="1"/>
    <row r="1039519" ht="10.5" customHeight="1"/>
    <row r="1039520" ht="10.5" customHeight="1"/>
    <row r="1039521" ht="10.5" customHeight="1"/>
    <row r="1039522" ht="10.5" customHeight="1"/>
    <row r="1039523" ht="10.5" customHeight="1"/>
    <row r="1039524" ht="10.5" customHeight="1"/>
    <row r="1039525" ht="10.5" customHeight="1"/>
    <row r="1039526" ht="10.5" customHeight="1"/>
    <row r="1039527" ht="10.5" customHeight="1"/>
    <row r="1039528" ht="10.5" customHeight="1"/>
    <row r="1039529" ht="10.5" customHeight="1"/>
    <row r="1039530" ht="10.5" customHeight="1"/>
    <row r="1039531" ht="10.5" customHeight="1"/>
    <row r="1039532" ht="10.5" customHeight="1"/>
    <row r="1039533" ht="10.5" customHeight="1"/>
    <row r="1039534" ht="10.5" customHeight="1"/>
    <row r="1039535" ht="10.5" customHeight="1"/>
    <row r="1039536" ht="10.5" customHeight="1"/>
    <row r="1039537" ht="10.5" customHeight="1"/>
    <row r="1039538" ht="10.5" customHeight="1"/>
    <row r="1039539" ht="10.5" customHeight="1"/>
    <row r="1039540" ht="10.5" customHeight="1"/>
    <row r="1039541" ht="10.5" customHeight="1"/>
    <row r="1039542" ht="10.5" customHeight="1"/>
    <row r="1039543" ht="10.5" customHeight="1"/>
    <row r="1039544" ht="10.5" customHeight="1"/>
    <row r="1039545" ht="10.5" customHeight="1"/>
    <row r="1039546" ht="10.5" customHeight="1"/>
    <row r="1039547" ht="10.5" customHeight="1"/>
    <row r="1039548" ht="10.5" customHeight="1"/>
    <row r="1039549" ht="10.5" customHeight="1"/>
    <row r="1039550" ht="10.5" customHeight="1"/>
    <row r="1039551" ht="10.5" customHeight="1"/>
    <row r="1039552" ht="10.5" customHeight="1"/>
    <row r="1039553" ht="10.5" customHeight="1"/>
    <row r="1039554" ht="10.5" customHeight="1"/>
    <row r="1039555" ht="10.5" customHeight="1"/>
    <row r="1039556" ht="10.5" customHeight="1"/>
    <row r="1039557" ht="10.5" customHeight="1"/>
    <row r="1039558" ht="10.5" customHeight="1"/>
    <row r="1039559" ht="10.5" customHeight="1"/>
    <row r="1039560" ht="10.5" customHeight="1"/>
    <row r="1039561" ht="10.5" customHeight="1"/>
    <row r="1039562" ht="10.5" customHeight="1"/>
    <row r="1039563" ht="10.5" customHeight="1"/>
    <row r="1039564" ht="10.5" customHeight="1"/>
    <row r="1039565" ht="10.5" customHeight="1"/>
    <row r="1039566" ht="10.5" customHeight="1"/>
    <row r="1039567" ht="10.5" customHeight="1"/>
    <row r="1039568" ht="10.5" customHeight="1"/>
    <row r="1039569" ht="10.5" customHeight="1"/>
    <row r="1039570" ht="10.5" customHeight="1"/>
    <row r="1039571" ht="10.5" customHeight="1"/>
    <row r="1039572" ht="10.5" customHeight="1"/>
    <row r="1039573" ht="10.5" customHeight="1"/>
    <row r="1039574" ht="10.5" customHeight="1"/>
    <row r="1039575" ht="10.5" customHeight="1"/>
    <row r="1039576" ht="10.5" customHeight="1"/>
    <row r="1039577" ht="10.5" customHeight="1"/>
    <row r="1039578" ht="10.5" customHeight="1"/>
    <row r="1039579" ht="10.5" customHeight="1"/>
    <row r="1039580" ht="10.5" customHeight="1"/>
    <row r="1039581" ht="10.5" customHeight="1"/>
    <row r="1039582" ht="10.5" customHeight="1"/>
    <row r="1039583" ht="10.5" customHeight="1"/>
    <row r="1039584" ht="10.5" customHeight="1"/>
    <row r="1039585" ht="10.5" customHeight="1"/>
    <row r="1039586" ht="10.5" customHeight="1"/>
    <row r="1039587" ht="10.5" customHeight="1"/>
    <row r="1039588" ht="10.5" customHeight="1"/>
    <row r="1039589" ht="10.5" customHeight="1"/>
    <row r="1039590" ht="10.5" customHeight="1"/>
    <row r="1039591" ht="10.5" customHeight="1"/>
    <row r="1039592" ht="10.5" customHeight="1"/>
    <row r="1039593" ht="10.5" customHeight="1"/>
    <row r="1039594" ht="10.5" customHeight="1"/>
    <row r="1039595" ht="10.5" customHeight="1"/>
    <row r="1039596" ht="10.5" customHeight="1"/>
    <row r="1039597" ht="10.5" customHeight="1"/>
    <row r="1039598" ht="10.5" customHeight="1"/>
    <row r="1039599" ht="10.5" customHeight="1"/>
    <row r="1039600" ht="10.5" customHeight="1"/>
    <row r="1039601" ht="10.5" customHeight="1"/>
    <row r="1039602" ht="10.5" customHeight="1"/>
    <row r="1039603" ht="10.5" customHeight="1"/>
    <row r="1039604" ht="10.5" customHeight="1"/>
    <row r="1039605" ht="10.5" customHeight="1"/>
    <row r="1039606" ht="10.5" customHeight="1"/>
    <row r="1039607" ht="10.5" customHeight="1"/>
    <row r="1039608" ht="10.5" customHeight="1"/>
    <row r="1039609" ht="10.5" customHeight="1"/>
    <row r="1039610" ht="10.5" customHeight="1"/>
    <row r="1039611" ht="10.5" customHeight="1"/>
    <row r="1039612" ht="10.5" customHeight="1"/>
    <row r="1039613" ht="10.5" customHeight="1"/>
    <row r="1039614" ht="10.5" customHeight="1"/>
    <row r="1039615" ht="10.5" customHeight="1"/>
    <row r="1039616" ht="10.5" customHeight="1"/>
    <row r="1039617" ht="10.5" customHeight="1"/>
    <row r="1039618" ht="10.5" customHeight="1"/>
    <row r="1039619" ht="10.5" customHeight="1"/>
    <row r="1039620" ht="10.5" customHeight="1"/>
    <row r="1039621" ht="10.5" customHeight="1"/>
    <row r="1039622" ht="10.5" customHeight="1"/>
    <row r="1039623" ht="10.5" customHeight="1"/>
    <row r="1039624" ht="10.5" customHeight="1"/>
    <row r="1039625" ht="10.5" customHeight="1"/>
    <row r="1039626" ht="10.5" customHeight="1"/>
    <row r="1039627" ht="10.5" customHeight="1"/>
    <row r="1039628" ht="10.5" customHeight="1"/>
    <row r="1039629" ht="10.5" customHeight="1"/>
    <row r="1039630" ht="10.5" customHeight="1"/>
    <row r="1039631" ht="10.5" customHeight="1"/>
    <row r="1039632" ht="10.5" customHeight="1"/>
    <row r="1039633" ht="10.5" customHeight="1"/>
    <row r="1039634" ht="10.5" customHeight="1"/>
    <row r="1039635" ht="10.5" customHeight="1"/>
    <row r="1039636" ht="10.5" customHeight="1"/>
    <row r="1039637" ht="10.5" customHeight="1"/>
    <row r="1039638" ht="10.5" customHeight="1"/>
    <row r="1039639" ht="10.5" customHeight="1"/>
    <row r="1039640" ht="10.5" customHeight="1"/>
    <row r="1039641" ht="10.5" customHeight="1"/>
    <row r="1039642" ht="10.5" customHeight="1"/>
    <row r="1039643" ht="10.5" customHeight="1"/>
    <row r="1039644" ht="10.5" customHeight="1"/>
    <row r="1039645" ht="10.5" customHeight="1"/>
    <row r="1039646" ht="10.5" customHeight="1"/>
    <row r="1039647" ht="10.5" customHeight="1"/>
    <row r="1039648" ht="10.5" customHeight="1"/>
    <row r="1039649" ht="10.5" customHeight="1"/>
    <row r="1039650" ht="10.5" customHeight="1"/>
    <row r="1039651" ht="10.5" customHeight="1"/>
    <row r="1039652" ht="10.5" customHeight="1"/>
    <row r="1039653" ht="10.5" customHeight="1"/>
    <row r="1039654" ht="10.5" customHeight="1"/>
    <row r="1039655" ht="10.5" customHeight="1"/>
    <row r="1039656" ht="10.5" customHeight="1"/>
    <row r="1039657" ht="10.5" customHeight="1"/>
    <row r="1039658" ht="10.5" customHeight="1"/>
    <row r="1039659" ht="10.5" customHeight="1"/>
    <row r="1039660" ht="10.5" customHeight="1"/>
    <row r="1039661" ht="10.5" customHeight="1"/>
    <row r="1039662" ht="10.5" customHeight="1"/>
    <row r="1039663" ht="10.5" customHeight="1"/>
    <row r="1039664" ht="10.5" customHeight="1"/>
    <row r="1039665" ht="10.5" customHeight="1"/>
    <row r="1039666" ht="10.5" customHeight="1"/>
    <row r="1039667" ht="10.5" customHeight="1"/>
    <row r="1039668" ht="10.5" customHeight="1"/>
    <row r="1039669" ht="10.5" customHeight="1"/>
    <row r="1039670" ht="10.5" customHeight="1"/>
    <row r="1039671" ht="10.5" customHeight="1"/>
    <row r="1039672" ht="10.5" customHeight="1"/>
    <row r="1039673" ht="10.5" customHeight="1"/>
    <row r="1039674" ht="10.5" customHeight="1"/>
    <row r="1039675" ht="10.5" customHeight="1"/>
    <row r="1039676" ht="10.5" customHeight="1"/>
    <row r="1039677" ht="10.5" customHeight="1"/>
    <row r="1039678" ht="10.5" customHeight="1"/>
    <row r="1039679" ht="10.5" customHeight="1"/>
    <row r="1039680" ht="10.5" customHeight="1"/>
    <row r="1039681" ht="10.5" customHeight="1"/>
    <row r="1039682" ht="10.5" customHeight="1"/>
    <row r="1039683" ht="10.5" customHeight="1"/>
    <row r="1039684" ht="10.5" customHeight="1"/>
    <row r="1039685" ht="10.5" customHeight="1"/>
    <row r="1039686" ht="10.5" customHeight="1"/>
    <row r="1039687" ht="10.5" customHeight="1"/>
    <row r="1039688" ht="10.5" customHeight="1"/>
    <row r="1039689" ht="10.5" customHeight="1"/>
    <row r="1039690" ht="10.5" customHeight="1"/>
    <row r="1039691" ht="10.5" customHeight="1"/>
    <row r="1039692" ht="10.5" customHeight="1"/>
    <row r="1039693" ht="10.5" customHeight="1"/>
    <row r="1039694" ht="10.5" customHeight="1"/>
    <row r="1039695" ht="10.5" customHeight="1"/>
    <row r="1039696" ht="10.5" customHeight="1"/>
    <row r="1039697" ht="10.5" customHeight="1"/>
    <row r="1039698" ht="10.5" customHeight="1"/>
    <row r="1039699" ht="10.5" customHeight="1"/>
    <row r="1039700" ht="10.5" customHeight="1"/>
    <row r="1039701" ht="10.5" customHeight="1"/>
    <row r="1039702" ht="10.5" customHeight="1"/>
    <row r="1039703" ht="10.5" customHeight="1"/>
    <row r="1039704" ht="10.5" customHeight="1"/>
    <row r="1039705" ht="10.5" customHeight="1"/>
    <row r="1039706" ht="10.5" customHeight="1"/>
    <row r="1039707" ht="10.5" customHeight="1"/>
    <row r="1039708" ht="10.5" customHeight="1"/>
    <row r="1039709" ht="10.5" customHeight="1"/>
    <row r="1039710" ht="10.5" customHeight="1"/>
    <row r="1039711" ht="10.5" customHeight="1"/>
    <row r="1039712" ht="10.5" customHeight="1"/>
    <row r="1039713" ht="10.5" customHeight="1"/>
    <row r="1039714" ht="10.5" customHeight="1"/>
    <row r="1039715" ht="10.5" customHeight="1"/>
    <row r="1039716" ht="10.5" customHeight="1"/>
    <row r="1039717" ht="10.5" customHeight="1"/>
    <row r="1039718" ht="10.5" customHeight="1"/>
    <row r="1039719" ht="10.5" customHeight="1"/>
    <row r="1039720" ht="10.5" customHeight="1"/>
    <row r="1039721" ht="10.5" customHeight="1"/>
    <row r="1039722" ht="10.5" customHeight="1"/>
    <row r="1039723" ht="10.5" customHeight="1"/>
    <row r="1039724" ht="10.5" customHeight="1"/>
    <row r="1039725" ht="10.5" customHeight="1"/>
    <row r="1039726" ht="10.5" customHeight="1"/>
    <row r="1039727" ht="10.5" customHeight="1"/>
    <row r="1039728" ht="10.5" customHeight="1"/>
    <row r="1039729" ht="10.5" customHeight="1"/>
    <row r="1039730" ht="10.5" customHeight="1"/>
    <row r="1039731" ht="10.5" customHeight="1"/>
    <row r="1039732" ht="10.5" customHeight="1"/>
    <row r="1039733" ht="10.5" customHeight="1"/>
    <row r="1039734" ht="10.5" customHeight="1"/>
    <row r="1039735" ht="10.5" customHeight="1"/>
    <row r="1039736" ht="10.5" customHeight="1"/>
    <row r="1039737" ht="10.5" customHeight="1"/>
    <row r="1039738" ht="10.5" customHeight="1"/>
    <row r="1039739" ht="10.5" customHeight="1"/>
    <row r="1039740" ht="10.5" customHeight="1"/>
    <row r="1039741" ht="10.5" customHeight="1"/>
    <row r="1039742" ht="10.5" customHeight="1"/>
    <row r="1039743" ht="10.5" customHeight="1"/>
    <row r="1039744" ht="10.5" customHeight="1"/>
    <row r="1039745" ht="10.5" customHeight="1"/>
    <row r="1039746" ht="10.5" customHeight="1"/>
    <row r="1039747" ht="10.5" customHeight="1"/>
    <row r="1039748" ht="10.5" customHeight="1"/>
    <row r="1039749" ht="10.5" customHeight="1"/>
    <row r="1039750" ht="10.5" customHeight="1"/>
    <row r="1039751" ht="10.5" customHeight="1"/>
    <row r="1039752" ht="10.5" customHeight="1"/>
    <row r="1039753" ht="10.5" customHeight="1"/>
    <row r="1039754" ht="10.5" customHeight="1"/>
    <row r="1039755" ht="10.5" customHeight="1"/>
    <row r="1039756" ht="10.5" customHeight="1"/>
    <row r="1039757" ht="10.5" customHeight="1"/>
    <row r="1039758" ht="10.5" customHeight="1"/>
    <row r="1039759" ht="10.5" customHeight="1"/>
    <row r="1039760" ht="10.5" customHeight="1"/>
    <row r="1039761" ht="10.5" customHeight="1"/>
    <row r="1039762" ht="10.5" customHeight="1"/>
    <row r="1039763" ht="10.5" customHeight="1"/>
    <row r="1039764" ht="10.5" customHeight="1"/>
    <row r="1039765" ht="10.5" customHeight="1"/>
    <row r="1039766" ht="10.5" customHeight="1"/>
    <row r="1039767" ht="10.5" customHeight="1"/>
    <row r="1039768" ht="10.5" customHeight="1"/>
    <row r="1039769" ht="10.5" customHeight="1"/>
    <row r="1039770" ht="10.5" customHeight="1"/>
    <row r="1039771" ht="10.5" customHeight="1"/>
    <row r="1039772" ht="10.5" customHeight="1"/>
    <row r="1039773" ht="10.5" customHeight="1"/>
    <row r="1039774" ht="10.5" customHeight="1"/>
    <row r="1039775" ht="10.5" customHeight="1"/>
    <row r="1039776" ht="10.5" customHeight="1"/>
    <row r="1039777" ht="10.5" customHeight="1"/>
    <row r="1039778" ht="10.5" customHeight="1"/>
    <row r="1039779" ht="10.5" customHeight="1"/>
    <row r="1039780" ht="10.5" customHeight="1"/>
    <row r="1039781" ht="10.5" customHeight="1"/>
    <row r="1039782" ht="10.5" customHeight="1"/>
    <row r="1039783" ht="10.5" customHeight="1"/>
    <row r="1039784" ht="10.5" customHeight="1"/>
    <row r="1039785" ht="10.5" customHeight="1"/>
    <row r="1039786" ht="10.5" customHeight="1"/>
    <row r="1039787" ht="10.5" customHeight="1"/>
    <row r="1039788" ht="10.5" customHeight="1"/>
    <row r="1039789" ht="10.5" customHeight="1"/>
    <row r="1039790" ht="10.5" customHeight="1"/>
    <row r="1039791" ht="10.5" customHeight="1"/>
    <row r="1039792" ht="10.5" customHeight="1"/>
    <row r="1039793" ht="10.5" customHeight="1"/>
    <row r="1039794" ht="10.5" customHeight="1"/>
    <row r="1039795" ht="10.5" customHeight="1"/>
    <row r="1039796" ht="10.5" customHeight="1"/>
    <row r="1039797" ht="10.5" customHeight="1"/>
    <row r="1039798" ht="10.5" customHeight="1"/>
    <row r="1039799" ht="10.5" customHeight="1"/>
    <row r="1039800" ht="10.5" customHeight="1"/>
    <row r="1039801" ht="10.5" customHeight="1"/>
    <row r="1039802" ht="10.5" customHeight="1"/>
    <row r="1039803" ht="10.5" customHeight="1"/>
    <row r="1039804" ht="10.5" customHeight="1"/>
    <row r="1039805" ht="10.5" customHeight="1"/>
    <row r="1039806" ht="10.5" customHeight="1"/>
    <row r="1039807" ht="10.5" customHeight="1"/>
    <row r="1039808" ht="10.5" customHeight="1"/>
    <row r="1039809" ht="10.5" customHeight="1"/>
    <row r="1039810" ht="10.5" customHeight="1"/>
    <row r="1039811" ht="10.5" customHeight="1"/>
    <row r="1039812" ht="10.5" customHeight="1"/>
    <row r="1039813" ht="10.5" customHeight="1"/>
    <row r="1039814" ht="10.5" customHeight="1"/>
    <row r="1039815" ht="10.5" customHeight="1"/>
    <row r="1039816" ht="10.5" customHeight="1"/>
    <row r="1039817" ht="10.5" customHeight="1"/>
    <row r="1039818" ht="10.5" customHeight="1"/>
    <row r="1039819" ht="10.5" customHeight="1"/>
    <row r="1039820" ht="10.5" customHeight="1"/>
    <row r="1039821" ht="10.5" customHeight="1"/>
    <row r="1039822" ht="10.5" customHeight="1"/>
    <row r="1039823" ht="10.5" customHeight="1"/>
    <row r="1039824" ht="10.5" customHeight="1"/>
    <row r="1039825" ht="10.5" customHeight="1"/>
    <row r="1039826" ht="10.5" customHeight="1"/>
    <row r="1039827" ht="10.5" customHeight="1"/>
    <row r="1039828" ht="10.5" customHeight="1"/>
    <row r="1039829" ht="10.5" customHeight="1"/>
    <row r="1039830" ht="10.5" customHeight="1"/>
    <row r="1039831" ht="10.5" customHeight="1"/>
    <row r="1039832" ht="10.5" customHeight="1"/>
    <row r="1039833" ht="10.5" customHeight="1"/>
    <row r="1039834" ht="10.5" customHeight="1"/>
    <row r="1039835" ht="10.5" customHeight="1"/>
    <row r="1039836" ht="10.5" customHeight="1"/>
    <row r="1039837" ht="10.5" customHeight="1"/>
    <row r="1039838" ht="10.5" customHeight="1"/>
    <row r="1039839" ht="10.5" customHeight="1"/>
    <row r="1039840" ht="10.5" customHeight="1"/>
    <row r="1039841" ht="10.5" customHeight="1"/>
    <row r="1039842" ht="10.5" customHeight="1"/>
    <row r="1039843" ht="10.5" customHeight="1"/>
    <row r="1039844" ht="10.5" customHeight="1"/>
    <row r="1039845" ht="10.5" customHeight="1"/>
    <row r="1039846" ht="10.5" customHeight="1"/>
    <row r="1039847" ht="10.5" customHeight="1"/>
    <row r="1039848" ht="10.5" customHeight="1"/>
    <row r="1039849" ht="10.5" customHeight="1"/>
    <row r="1039850" ht="10.5" customHeight="1"/>
    <row r="1039851" ht="10.5" customHeight="1"/>
    <row r="1039852" ht="10.5" customHeight="1"/>
    <row r="1039853" ht="10.5" customHeight="1"/>
    <row r="1039854" ht="10.5" customHeight="1"/>
    <row r="1039855" ht="10.5" customHeight="1"/>
    <row r="1039856" ht="10.5" customHeight="1"/>
    <row r="1039857" ht="10.5" customHeight="1"/>
    <row r="1039858" ht="10.5" customHeight="1"/>
    <row r="1039859" ht="10.5" customHeight="1"/>
    <row r="1039860" ht="10.5" customHeight="1"/>
    <row r="1039861" ht="10.5" customHeight="1"/>
    <row r="1039862" ht="10.5" customHeight="1"/>
    <row r="1039863" ht="10.5" customHeight="1"/>
    <row r="1039864" ht="10.5" customHeight="1"/>
    <row r="1039865" ht="10.5" customHeight="1"/>
    <row r="1039866" ht="10.5" customHeight="1"/>
    <row r="1039867" ht="10.5" customHeight="1"/>
    <row r="1039868" ht="10.5" customHeight="1"/>
    <row r="1039869" ht="10.5" customHeight="1"/>
    <row r="1039870" ht="10.5" customHeight="1"/>
    <row r="1039871" ht="10.5" customHeight="1"/>
    <row r="1039872" ht="10.5" customHeight="1"/>
    <row r="1039873" ht="10.5" customHeight="1"/>
    <row r="1039874" ht="10.5" customHeight="1"/>
    <row r="1039875" ht="10.5" customHeight="1"/>
    <row r="1039876" ht="10.5" customHeight="1"/>
    <row r="1039877" ht="10.5" customHeight="1"/>
    <row r="1039878" ht="10.5" customHeight="1"/>
    <row r="1039879" ht="10.5" customHeight="1"/>
    <row r="1039880" ht="10.5" customHeight="1"/>
    <row r="1039881" ht="10.5" customHeight="1"/>
    <row r="1039882" ht="10.5" customHeight="1"/>
    <row r="1039883" ht="10.5" customHeight="1"/>
    <row r="1039884" ht="10.5" customHeight="1"/>
    <row r="1039885" ht="10.5" customHeight="1"/>
    <row r="1039886" ht="10.5" customHeight="1"/>
    <row r="1039887" ht="10.5" customHeight="1"/>
    <row r="1039888" ht="10.5" customHeight="1"/>
    <row r="1039889" ht="10.5" customHeight="1"/>
    <row r="1039890" ht="10.5" customHeight="1"/>
    <row r="1039891" ht="10.5" customHeight="1"/>
    <row r="1039892" ht="10.5" customHeight="1"/>
    <row r="1039893" ht="10.5" customHeight="1"/>
    <row r="1039894" ht="10.5" customHeight="1"/>
    <row r="1039895" ht="10.5" customHeight="1"/>
    <row r="1039896" ht="10.5" customHeight="1"/>
    <row r="1039897" ht="10.5" customHeight="1"/>
    <row r="1039898" ht="10.5" customHeight="1"/>
    <row r="1039899" ht="10.5" customHeight="1"/>
    <row r="1039900" ht="10.5" customHeight="1"/>
    <row r="1039901" ht="10.5" customHeight="1"/>
    <row r="1039902" ht="10.5" customHeight="1"/>
    <row r="1039903" ht="10.5" customHeight="1"/>
    <row r="1039904" ht="10.5" customHeight="1"/>
    <row r="1039905" ht="10.5" customHeight="1"/>
    <row r="1039906" ht="10.5" customHeight="1"/>
    <row r="1039907" ht="10.5" customHeight="1"/>
    <row r="1039908" ht="10.5" customHeight="1"/>
    <row r="1039909" ht="10.5" customHeight="1"/>
    <row r="1039910" ht="10.5" customHeight="1"/>
    <row r="1039911" ht="10.5" customHeight="1"/>
    <row r="1039912" ht="10.5" customHeight="1"/>
    <row r="1039913" ht="10.5" customHeight="1"/>
    <row r="1039914" ht="10.5" customHeight="1"/>
    <row r="1039915" ht="10.5" customHeight="1"/>
    <row r="1039916" ht="10.5" customHeight="1"/>
    <row r="1039917" ht="10.5" customHeight="1"/>
    <row r="1039918" ht="10.5" customHeight="1"/>
    <row r="1039919" ht="10.5" customHeight="1"/>
    <row r="1039920" ht="10.5" customHeight="1"/>
    <row r="1039921" ht="10.5" customHeight="1"/>
    <row r="1039922" ht="10.5" customHeight="1"/>
    <row r="1039923" ht="10.5" customHeight="1"/>
    <row r="1039924" ht="10.5" customHeight="1"/>
    <row r="1039925" ht="10.5" customHeight="1"/>
    <row r="1039926" ht="10.5" customHeight="1"/>
    <row r="1039927" ht="10.5" customHeight="1"/>
    <row r="1039928" ht="10.5" customHeight="1"/>
    <row r="1039929" ht="10.5" customHeight="1"/>
    <row r="1039930" ht="10.5" customHeight="1"/>
    <row r="1039931" ht="10.5" customHeight="1"/>
    <row r="1039932" ht="10.5" customHeight="1"/>
    <row r="1039933" ht="10.5" customHeight="1"/>
    <row r="1039934" ht="10.5" customHeight="1"/>
    <row r="1039935" ht="10.5" customHeight="1"/>
    <row r="1039936" ht="10.5" customHeight="1"/>
    <row r="1039937" ht="10.5" customHeight="1"/>
    <row r="1039938" ht="10.5" customHeight="1"/>
    <row r="1039939" ht="10.5" customHeight="1"/>
    <row r="1039940" ht="10.5" customHeight="1"/>
    <row r="1039941" ht="10.5" customHeight="1"/>
    <row r="1039942" ht="10.5" customHeight="1"/>
    <row r="1039943" ht="10.5" customHeight="1"/>
    <row r="1039944" ht="10.5" customHeight="1"/>
    <row r="1039945" ht="10.5" customHeight="1"/>
    <row r="1039946" ht="10.5" customHeight="1"/>
    <row r="1039947" ht="10.5" customHeight="1"/>
    <row r="1039948" ht="10.5" customHeight="1"/>
    <row r="1039949" ht="10.5" customHeight="1"/>
    <row r="1039950" ht="10.5" customHeight="1"/>
    <row r="1039951" ht="10.5" customHeight="1"/>
    <row r="1039952" ht="10.5" customHeight="1"/>
    <row r="1039953" ht="10.5" customHeight="1"/>
    <row r="1039954" ht="10.5" customHeight="1"/>
    <row r="1039955" ht="10.5" customHeight="1"/>
    <row r="1039956" ht="10.5" customHeight="1"/>
    <row r="1039957" ht="10.5" customHeight="1"/>
    <row r="1039958" ht="10.5" customHeight="1"/>
    <row r="1039959" ht="10.5" customHeight="1"/>
    <row r="1039960" ht="10.5" customHeight="1"/>
    <row r="1039961" ht="10.5" customHeight="1"/>
    <row r="1039962" ht="10.5" customHeight="1"/>
    <row r="1039963" ht="10.5" customHeight="1"/>
    <row r="1039964" ht="10.5" customHeight="1"/>
    <row r="1039965" ht="10.5" customHeight="1"/>
    <row r="1039966" ht="10.5" customHeight="1"/>
    <row r="1039967" ht="10.5" customHeight="1"/>
    <row r="1039968" ht="10.5" customHeight="1"/>
    <row r="1039969" ht="10.5" customHeight="1"/>
    <row r="1039970" ht="10.5" customHeight="1"/>
    <row r="1039971" ht="10.5" customHeight="1"/>
    <row r="1039972" ht="10.5" customHeight="1"/>
    <row r="1039973" ht="10.5" customHeight="1"/>
    <row r="1039974" ht="10.5" customHeight="1"/>
    <row r="1039975" ht="10.5" customHeight="1"/>
    <row r="1039976" ht="10.5" customHeight="1"/>
    <row r="1039977" ht="10.5" customHeight="1"/>
    <row r="1039978" ht="10.5" customHeight="1"/>
    <row r="1039979" ht="10.5" customHeight="1"/>
    <row r="1039980" ht="10.5" customHeight="1"/>
    <row r="1039981" ht="10.5" customHeight="1"/>
    <row r="1039982" ht="10.5" customHeight="1"/>
    <row r="1039983" ht="10.5" customHeight="1"/>
    <row r="1039984" ht="10.5" customHeight="1"/>
    <row r="1039985" ht="10.5" customHeight="1"/>
    <row r="1039986" ht="10.5" customHeight="1"/>
    <row r="1039987" ht="10.5" customHeight="1"/>
    <row r="1039988" ht="10.5" customHeight="1"/>
    <row r="1039989" ht="10.5" customHeight="1"/>
    <row r="1039990" ht="10.5" customHeight="1"/>
    <row r="1039991" ht="10.5" customHeight="1"/>
    <row r="1039992" ht="10.5" customHeight="1"/>
    <row r="1039993" ht="10.5" customHeight="1"/>
    <row r="1039994" ht="10.5" customHeight="1"/>
    <row r="1039995" ht="10.5" customHeight="1"/>
    <row r="1039996" ht="10.5" customHeight="1"/>
    <row r="1039997" ht="10.5" customHeight="1"/>
    <row r="1039998" ht="10.5" customHeight="1"/>
    <row r="1039999" ht="10.5" customHeight="1"/>
    <row r="1040000" ht="10.5" customHeight="1"/>
    <row r="1040001" ht="10.5" customHeight="1"/>
    <row r="1040002" ht="10.5" customHeight="1"/>
    <row r="1040003" ht="10.5" customHeight="1"/>
    <row r="1040004" ht="10.5" customHeight="1"/>
    <row r="1040005" ht="10.5" customHeight="1"/>
    <row r="1040006" ht="10.5" customHeight="1"/>
    <row r="1040007" ht="10.5" customHeight="1"/>
    <row r="1040008" ht="10.5" customHeight="1"/>
    <row r="1040009" ht="10.5" customHeight="1"/>
    <row r="1040010" ht="10.5" customHeight="1"/>
    <row r="1040011" ht="10.5" customHeight="1"/>
    <row r="1040012" ht="10.5" customHeight="1"/>
    <row r="1040013" ht="10.5" customHeight="1"/>
    <row r="1040014" ht="10.5" customHeight="1"/>
    <row r="1040015" ht="10.5" customHeight="1"/>
    <row r="1040016" ht="10.5" customHeight="1"/>
    <row r="1040017" ht="10.5" customHeight="1"/>
    <row r="1040018" ht="10.5" customHeight="1"/>
    <row r="1040019" ht="10.5" customHeight="1"/>
    <row r="1040020" ht="10.5" customHeight="1"/>
    <row r="1040021" ht="10.5" customHeight="1"/>
    <row r="1040022" ht="10.5" customHeight="1"/>
    <row r="1040023" ht="10.5" customHeight="1"/>
    <row r="1040024" ht="10.5" customHeight="1"/>
    <row r="1040025" ht="10.5" customHeight="1"/>
    <row r="1040026" ht="10.5" customHeight="1"/>
    <row r="1040027" ht="10.5" customHeight="1"/>
    <row r="1040028" ht="10.5" customHeight="1"/>
    <row r="1040029" ht="10.5" customHeight="1"/>
    <row r="1040030" ht="10.5" customHeight="1"/>
    <row r="1040031" ht="10.5" customHeight="1"/>
    <row r="1040032" ht="10.5" customHeight="1"/>
    <row r="1040033" ht="10.5" customHeight="1"/>
    <row r="1040034" ht="10.5" customHeight="1"/>
    <row r="1040035" ht="10.5" customHeight="1"/>
    <row r="1040036" ht="10.5" customHeight="1"/>
    <row r="1040037" ht="10.5" customHeight="1"/>
    <row r="1040038" ht="10.5" customHeight="1"/>
    <row r="1040039" ht="10.5" customHeight="1"/>
    <row r="1040040" ht="10.5" customHeight="1"/>
    <row r="1040041" ht="10.5" customHeight="1"/>
    <row r="1040042" ht="10.5" customHeight="1"/>
    <row r="1040043" ht="10.5" customHeight="1"/>
    <row r="1040044" ht="10.5" customHeight="1"/>
    <row r="1040045" ht="10.5" customHeight="1"/>
    <row r="1040046" ht="10.5" customHeight="1"/>
    <row r="1040047" ht="10.5" customHeight="1"/>
    <row r="1040048" ht="10.5" customHeight="1"/>
    <row r="1040049" ht="10.5" customHeight="1"/>
    <row r="1040050" ht="10.5" customHeight="1"/>
    <row r="1040051" ht="10.5" customHeight="1"/>
    <row r="1040052" ht="10.5" customHeight="1"/>
    <row r="1040053" ht="10.5" customHeight="1"/>
    <row r="1040054" ht="10.5" customHeight="1"/>
    <row r="1040055" ht="10.5" customHeight="1"/>
    <row r="1040056" ht="10.5" customHeight="1"/>
    <row r="1040057" ht="10.5" customHeight="1"/>
    <row r="1040058" ht="10.5" customHeight="1"/>
    <row r="1040059" ht="10.5" customHeight="1"/>
    <row r="1040060" ht="10.5" customHeight="1"/>
    <row r="1040061" ht="10.5" customHeight="1"/>
    <row r="1040062" ht="10.5" customHeight="1"/>
    <row r="1040063" ht="10.5" customHeight="1"/>
    <row r="1040064" ht="10.5" customHeight="1"/>
    <row r="1040065" ht="10.5" customHeight="1"/>
    <row r="1040066" ht="10.5" customHeight="1"/>
    <row r="1040067" ht="10.5" customHeight="1"/>
    <row r="1040068" ht="10.5" customHeight="1"/>
    <row r="1040069" ht="10.5" customHeight="1"/>
    <row r="1040070" ht="10.5" customHeight="1"/>
    <row r="1040071" ht="10.5" customHeight="1"/>
    <row r="1040072" ht="10.5" customHeight="1"/>
    <row r="1040073" ht="10.5" customHeight="1"/>
    <row r="1040074" ht="10.5" customHeight="1"/>
    <row r="1040075" ht="10.5" customHeight="1"/>
    <row r="1040076" ht="10.5" customHeight="1"/>
    <row r="1040077" ht="10.5" customHeight="1"/>
    <row r="1040078" ht="10.5" customHeight="1"/>
    <row r="1040079" ht="10.5" customHeight="1"/>
    <row r="1040080" ht="10.5" customHeight="1"/>
    <row r="1040081" ht="10.5" customHeight="1"/>
    <row r="1040082" ht="10.5" customHeight="1"/>
    <row r="1040083" ht="10.5" customHeight="1"/>
    <row r="1040084" ht="10.5" customHeight="1"/>
    <row r="1040085" ht="10.5" customHeight="1"/>
    <row r="1040086" ht="10.5" customHeight="1"/>
    <row r="1040087" ht="10.5" customHeight="1"/>
    <row r="1040088" ht="10.5" customHeight="1"/>
    <row r="1040089" ht="10.5" customHeight="1"/>
    <row r="1040090" ht="10.5" customHeight="1"/>
    <row r="1040091" ht="10.5" customHeight="1"/>
    <row r="1040092" ht="10.5" customHeight="1"/>
    <row r="1040093" ht="10.5" customHeight="1"/>
    <row r="1040094" ht="10.5" customHeight="1"/>
    <row r="1040095" ht="10.5" customHeight="1"/>
    <row r="1040096" ht="10.5" customHeight="1"/>
    <row r="1040097" ht="10.5" customHeight="1"/>
    <row r="1040098" ht="10.5" customHeight="1"/>
    <row r="1040099" ht="10.5" customHeight="1"/>
    <row r="1040100" ht="10.5" customHeight="1"/>
    <row r="1040101" ht="10.5" customHeight="1"/>
    <row r="1040102" ht="10.5" customHeight="1"/>
    <row r="1040103" ht="10.5" customHeight="1"/>
    <row r="1040104" ht="10.5" customHeight="1"/>
    <row r="1040105" ht="10.5" customHeight="1"/>
    <row r="1040106" ht="10.5" customHeight="1"/>
    <row r="1040107" ht="10.5" customHeight="1"/>
    <row r="1040108" ht="10.5" customHeight="1"/>
    <row r="1040109" ht="10.5" customHeight="1"/>
    <row r="1040110" ht="10.5" customHeight="1"/>
    <row r="1040111" ht="10.5" customHeight="1"/>
    <row r="1040112" ht="10.5" customHeight="1"/>
    <row r="1040113" ht="10.5" customHeight="1"/>
    <row r="1040114" ht="10.5" customHeight="1"/>
    <row r="1040115" ht="10.5" customHeight="1"/>
    <row r="1040116" ht="10.5" customHeight="1"/>
    <row r="1040117" ht="10.5" customHeight="1"/>
    <row r="1040118" ht="10.5" customHeight="1"/>
    <row r="1040119" ht="10.5" customHeight="1"/>
    <row r="1040120" ht="10.5" customHeight="1"/>
    <row r="1040121" ht="10.5" customHeight="1"/>
    <row r="1040122" ht="10.5" customHeight="1"/>
    <row r="1040123" ht="10.5" customHeight="1"/>
    <row r="1040124" ht="10.5" customHeight="1"/>
    <row r="1040125" ht="10.5" customHeight="1"/>
    <row r="1040126" ht="10.5" customHeight="1"/>
    <row r="1040127" ht="10.5" customHeight="1"/>
    <row r="1040128" ht="10.5" customHeight="1"/>
    <row r="1040129" ht="10.5" customHeight="1"/>
    <row r="1040130" ht="10.5" customHeight="1"/>
    <row r="1040131" ht="10.5" customHeight="1"/>
    <row r="1040132" ht="10.5" customHeight="1"/>
    <row r="1040133" ht="10.5" customHeight="1"/>
    <row r="1040134" ht="10.5" customHeight="1"/>
    <row r="1040135" ht="10.5" customHeight="1"/>
    <row r="1040136" ht="10.5" customHeight="1"/>
    <row r="1040137" ht="10.5" customHeight="1"/>
    <row r="1040138" ht="10.5" customHeight="1"/>
    <row r="1040139" ht="10.5" customHeight="1"/>
    <row r="1040140" ht="10.5" customHeight="1"/>
    <row r="1040141" ht="10.5" customHeight="1"/>
    <row r="1040142" ht="10.5" customHeight="1"/>
    <row r="1040143" ht="10.5" customHeight="1"/>
    <row r="1040144" ht="10.5" customHeight="1"/>
    <row r="1040145" ht="10.5" customHeight="1"/>
    <row r="1040146" ht="10.5" customHeight="1"/>
    <row r="1040147" ht="10.5" customHeight="1"/>
    <row r="1040148" ht="10.5" customHeight="1"/>
    <row r="1040149" ht="10.5" customHeight="1"/>
    <row r="1040150" ht="10.5" customHeight="1"/>
    <row r="1040151" ht="10.5" customHeight="1"/>
    <row r="1040152" ht="10.5" customHeight="1"/>
    <row r="1040153" ht="10.5" customHeight="1"/>
    <row r="1040154" ht="10.5" customHeight="1"/>
    <row r="1040155" ht="10.5" customHeight="1"/>
    <row r="1040156" ht="10.5" customHeight="1"/>
    <row r="1040157" ht="10.5" customHeight="1"/>
    <row r="1040158" ht="10.5" customHeight="1"/>
    <row r="1040159" ht="10.5" customHeight="1"/>
    <row r="1040160" ht="10.5" customHeight="1"/>
    <row r="1040161" ht="10.5" customHeight="1"/>
    <row r="1040162" ht="10.5" customHeight="1"/>
    <row r="1040163" ht="10.5" customHeight="1"/>
    <row r="1040164" ht="10.5" customHeight="1"/>
    <row r="1040165" ht="10.5" customHeight="1"/>
    <row r="1040166" ht="10.5" customHeight="1"/>
    <row r="1040167" ht="10.5" customHeight="1"/>
    <row r="1040168" ht="10.5" customHeight="1"/>
    <row r="1040169" ht="10.5" customHeight="1"/>
    <row r="1040170" ht="10.5" customHeight="1"/>
    <row r="1040171" ht="10.5" customHeight="1"/>
    <row r="1040172" ht="10.5" customHeight="1"/>
    <row r="1040173" ht="10.5" customHeight="1"/>
    <row r="1040174" ht="10.5" customHeight="1"/>
    <row r="1040175" ht="10.5" customHeight="1"/>
    <row r="1040176" ht="10.5" customHeight="1"/>
    <row r="1040177" ht="10.5" customHeight="1"/>
    <row r="1040178" ht="10.5" customHeight="1"/>
    <row r="1040179" ht="10.5" customHeight="1"/>
    <row r="1040180" ht="10.5" customHeight="1"/>
    <row r="1040181" ht="10.5" customHeight="1"/>
    <row r="1040182" ht="10.5" customHeight="1"/>
    <row r="1040183" ht="10.5" customHeight="1"/>
    <row r="1040184" ht="10.5" customHeight="1"/>
    <row r="1040185" ht="10.5" customHeight="1"/>
    <row r="1040186" ht="10.5" customHeight="1"/>
    <row r="1040187" ht="10.5" customHeight="1"/>
    <row r="1040188" ht="10.5" customHeight="1"/>
    <row r="1040189" ht="10.5" customHeight="1"/>
    <row r="1040190" ht="10.5" customHeight="1"/>
    <row r="1040191" ht="10.5" customHeight="1"/>
    <row r="1040192" ht="10.5" customHeight="1"/>
    <row r="1040193" ht="10.5" customHeight="1"/>
    <row r="1040194" ht="10.5" customHeight="1"/>
    <row r="1040195" ht="10.5" customHeight="1"/>
    <row r="1040196" ht="10.5" customHeight="1"/>
    <row r="1040197" ht="10.5" customHeight="1"/>
    <row r="1040198" ht="10.5" customHeight="1"/>
    <row r="1040199" ht="10.5" customHeight="1"/>
    <row r="1040200" ht="10.5" customHeight="1"/>
    <row r="1040201" ht="10.5" customHeight="1"/>
    <row r="1040202" ht="10.5" customHeight="1"/>
    <row r="1040203" ht="10.5" customHeight="1"/>
    <row r="1040204" ht="10.5" customHeight="1"/>
    <row r="1040205" ht="10.5" customHeight="1"/>
    <row r="1040206" ht="10.5" customHeight="1"/>
    <row r="1040207" ht="10.5" customHeight="1"/>
    <row r="1040208" ht="10.5" customHeight="1"/>
    <row r="1040209" ht="10.5" customHeight="1"/>
    <row r="1040210" ht="10.5" customHeight="1"/>
    <row r="1040211" ht="10.5" customHeight="1"/>
    <row r="1040212" ht="10.5" customHeight="1"/>
    <row r="1040213" ht="10.5" customHeight="1"/>
    <row r="1040214" ht="10.5" customHeight="1"/>
    <row r="1040215" ht="10.5" customHeight="1"/>
    <row r="1040216" ht="10.5" customHeight="1"/>
    <row r="1040217" ht="10.5" customHeight="1"/>
    <row r="1040218" ht="10.5" customHeight="1"/>
    <row r="1040219" ht="10.5" customHeight="1"/>
    <row r="1040220" ht="10.5" customHeight="1"/>
    <row r="1040221" ht="10.5" customHeight="1"/>
    <row r="1040222" ht="10.5" customHeight="1"/>
    <row r="1040223" ht="10.5" customHeight="1"/>
    <row r="1040224" ht="10.5" customHeight="1"/>
    <row r="1040225" ht="10.5" customHeight="1"/>
    <row r="1040226" ht="10.5" customHeight="1"/>
    <row r="1040227" ht="10.5" customHeight="1"/>
    <row r="1040228" ht="10.5" customHeight="1"/>
    <row r="1040229" ht="10.5" customHeight="1"/>
    <row r="1040230" ht="10.5" customHeight="1"/>
    <row r="1040231" ht="10.5" customHeight="1"/>
    <row r="1040232" ht="10.5" customHeight="1"/>
    <row r="1040233" ht="10.5" customHeight="1"/>
    <row r="1040234" ht="10.5" customHeight="1"/>
    <row r="1040235" ht="10.5" customHeight="1"/>
    <row r="1040236" ht="10.5" customHeight="1"/>
    <row r="1040237" ht="10.5" customHeight="1"/>
    <row r="1040238" ht="10.5" customHeight="1"/>
    <row r="1040239" ht="10.5" customHeight="1"/>
    <row r="1040240" ht="10.5" customHeight="1"/>
    <row r="1040241" ht="10.5" customHeight="1"/>
    <row r="1040242" ht="10.5" customHeight="1"/>
    <row r="1040243" ht="10.5" customHeight="1"/>
    <row r="1040244" ht="10.5" customHeight="1"/>
    <row r="1040245" ht="10.5" customHeight="1"/>
    <row r="1040246" ht="10.5" customHeight="1"/>
    <row r="1040247" ht="10.5" customHeight="1"/>
    <row r="1040248" ht="10.5" customHeight="1"/>
    <row r="1040249" ht="10.5" customHeight="1"/>
    <row r="1040250" ht="10.5" customHeight="1"/>
    <row r="1040251" ht="10.5" customHeight="1"/>
    <row r="1040252" ht="10.5" customHeight="1"/>
    <row r="1040253" ht="10.5" customHeight="1"/>
    <row r="1040254" ht="10.5" customHeight="1"/>
    <row r="1040255" ht="10.5" customHeight="1"/>
    <row r="1040256" ht="10.5" customHeight="1"/>
    <row r="1040257" ht="10.5" customHeight="1"/>
    <row r="1040258" ht="10.5" customHeight="1"/>
    <row r="1040259" ht="10.5" customHeight="1"/>
    <row r="1040260" ht="10.5" customHeight="1"/>
    <row r="1040261" ht="10.5" customHeight="1"/>
    <row r="1040262" ht="10.5" customHeight="1"/>
    <row r="1040263" ht="10.5" customHeight="1"/>
    <row r="1040264" ht="10.5" customHeight="1"/>
    <row r="1040265" ht="10.5" customHeight="1"/>
    <row r="1040266" ht="10.5" customHeight="1"/>
    <row r="1040267" ht="10.5" customHeight="1"/>
    <row r="1040268" ht="10.5" customHeight="1"/>
    <row r="1040269" ht="10.5" customHeight="1"/>
    <row r="1040270" ht="10.5" customHeight="1"/>
    <row r="1040271" ht="10.5" customHeight="1"/>
    <row r="1040272" ht="10.5" customHeight="1"/>
    <row r="1040273" ht="10.5" customHeight="1"/>
    <row r="1040274" ht="10.5" customHeight="1"/>
    <row r="1040275" ht="10.5" customHeight="1"/>
    <row r="1040276" ht="10.5" customHeight="1"/>
    <row r="1040277" ht="10.5" customHeight="1"/>
    <row r="1040278" ht="10.5" customHeight="1"/>
    <row r="1040279" ht="10.5" customHeight="1"/>
    <row r="1040280" ht="10.5" customHeight="1"/>
    <row r="1040281" ht="10.5" customHeight="1"/>
    <row r="1040282" ht="10.5" customHeight="1"/>
    <row r="1040283" ht="10.5" customHeight="1"/>
    <row r="1040284" ht="10.5" customHeight="1"/>
    <row r="1040285" ht="10.5" customHeight="1"/>
    <row r="1040286" ht="10.5" customHeight="1"/>
    <row r="1040287" ht="10.5" customHeight="1"/>
    <row r="1040288" ht="10.5" customHeight="1"/>
    <row r="1040289" ht="10.5" customHeight="1"/>
    <row r="1040290" ht="10.5" customHeight="1"/>
    <row r="1040291" ht="10.5" customHeight="1"/>
    <row r="1040292" ht="10.5" customHeight="1"/>
    <row r="1040293" ht="10.5" customHeight="1"/>
    <row r="1040294" ht="10.5" customHeight="1"/>
    <row r="1040295" ht="10.5" customHeight="1"/>
    <row r="1040296" ht="10.5" customHeight="1"/>
    <row r="1040297" ht="10.5" customHeight="1"/>
    <row r="1040298" ht="10.5" customHeight="1"/>
    <row r="1040299" ht="10.5" customHeight="1"/>
    <row r="1040300" ht="10.5" customHeight="1"/>
    <row r="1040301" ht="10.5" customHeight="1"/>
    <row r="1040302" ht="10.5" customHeight="1"/>
    <row r="1040303" ht="10.5" customHeight="1"/>
    <row r="1040304" ht="10.5" customHeight="1"/>
    <row r="1040305" ht="10.5" customHeight="1"/>
    <row r="1040306" ht="10.5" customHeight="1"/>
    <row r="1040307" ht="10.5" customHeight="1"/>
    <row r="1040308" ht="10.5" customHeight="1"/>
    <row r="1040309" ht="10.5" customHeight="1"/>
    <row r="1040310" ht="10.5" customHeight="1"/>
    <row r="1040311" ht="10.5" customHeight="1"/>
    <row r="1040312" ht="10.5" customHeight="1"/>
    <row r="1040313" ht="10.5" customHeight="1"/>
    <row r="1040314" ht="10.5" customHeight="1"/>
    <row r="1040315" ht="10.5" customHeight="1"/>
    <row r="1040316" ht="10.5" customHeight="1"/>
    <row r="1040317" ht="10.5" customHeight="1"/>
    <row r="1040318" ht="10.5" customHeight="1"/>
    <row r="1040319" ht="10.5" customHeight="1"/>
    <row r="1040320" ht="10.5" customHeight="1"/>
    <row r="1040321" ht="10.5" customHeight="1"/>
    <row r="1040322" ht="10.5" customHeight="1"/>
    <row r="1040323" ht="10.5" customHeight="1"/>
    <row r="1040324" ht="10.5" customHeight="1"/>
    <row r="1040325" ht="10.5" customHeight="1"/>
    <row r="1040326" ht="10.5" customHeight="1"/>
    <row r="1040327" ht="10.5" customHeight="1"/>
    <row r="1040328" ht="10.5" customHeight="1"/>
    <row r="1040329" ht="10.5" customHeight="1"/>
    <row r="1040330" ht="10.5" customHeight="1"/>
    <row r="1040331" ht="10.5" customHeight="1"/>
    <row r="1040332" ht="10.5" customHeight="1"/>
    <row r="1040333" ht="10.5" customHeight="1"/>
    <row r="1040334" ht="10.5" customHeight="1"/>
    <row r="1040335" ht="10.5" customHeight="1"/>
    <row r="1040336" ht="10.5" customHeight="1"/>
    <row r="1040337" ht="10.5" customHeight="1"/>
    <row r="1040338" ht="10.5" customHeight="1"/>
    <row r="1040339" ht="10.5" customHeight="1"/>
    <row r="1040340" ht="10.5" customHeight="1"/>
    <row r="1040341" ht="10.5" customHeight="1"/>
    <row r="1040342" ht="10.5" customHeight="1"/>
    <row r="1040343" ht="10.5" customHeight="1"/>
    <row r="1040344" ht="10.5" customHeight="1"/>
    <row r="1040345" ht="10.5" customHeight="1"/>
    <row r="1040346" ht="10.5" customHeight="1"/>
    <row r="1040347" ht="10.5" customHeight="1"/>
    <row r="1040348" ht="10.5" customHeight="1"/>
    <row r="1040349" ht="10.5" customHeight="1"/>
    <row r="1040350" ht="10.5" customHeight="1"/>
    <row r="1040351" ht="10.5" customHeight="1"/>
    <row r="1040352" ht="10.5" customHeight="1"/>
    <row r="1040353" ht="10.5" customHeight="1"/>
    <row r="1040354" ht="10.5" customHeight="1"/>
    <row r="1040355" ht="10.5" customHeight="1"/>
    <row r="1040356" ht="10.5" customHeight="1"/>
    <row r="1040357" ht="10.5" customHeight="1"/>
    <row r="1040358" ht="10.5" customHeight="1"/>
    <row r="1040359" ht="10.5" customHeight="1"/>
    <row r="1040360" ht="10.5" customHeight="1"/>
    <row r="1040361" ht="10.5" customHeight="1"/>
    <row r="1040362" ht="10.5" customHeight="1"/>
    <row r="1040363" ht="10.5" customHeight="1"/>
    <row r="1040364" ht="10.5" customHeight="1"/>
    <row r="1040365" ht="10.5" customHeight="1"/>
    <row r="1040366" ht="10.5" customHeight="1"/>
    <row r="1040367" ht="10.5" customHeight="1"/>
    <row r="1040368" ht="10.5" customHeight="1"/>
    <row r="1040369" ht="10.5" customHeight="1"/>
    <row r="1040370" ht="10.5" customHeight="1"/>
    <row r="1040371" ht="10.5" customHeight="1"/>
    <row r="1040372" ht="10.5" customHeight="1"/>
    <row r="1040373" ht="10.5" customHeight="1"/>
    <row r="1040374" ht="10.5" customHeight="1"/>
    <row r="1040375" ht="10.5" customHeight="1"/>
    <row r="1040376" ht="10.5" customHeight="1"/>
    <row r="1040377" ht="10.5" customHeight="1"/>
    <row r="1040378" ht="10.5" customHeight="1"/>
    <row r="1040379" ht="10.5" customHeight="1"/>
    <row r="1040380" ht="10.5" customHeight="1"/>
    <row r="1040381" ht="10.5" customHeight="1"/>
    <row r="1040382" ht="10.5" customHeight="1"/>
    <row r="1040383" ht="10.5" customHeight="1"/>
    <row r="1040384" ht="10.5" customHeight="1"/>
    <row r="1040385" ht="10.5" customHeight="1"/>
    <row r="1040386" ht="10.5" customHeight="1"/>
    <row r="1040387" ht="10.5" customHeight="1"/>
    <row r="1040388" ht="10.5" customHeight="1"/>
    <row r="1040389" ht="10.5" customHeight="1"/>
    <row r="1040390" ht="10.5" customHeight="1"/>
    <row r="1040391" ht="10.5" customHeight="1"/>
    <row r="1040392" ht="10.5" customHeight="1"/>
    <row r="1040393" ht="10.5" customHeight="1"/>
    <row r="1040394" ht="10.5" customHeight="1"/>
    <row r="1040395" ht="10.5" customHeight="1"/>
    <row r="1040396" ht="10.5" customHeight="1"/>
    <row r="1040397" ht="10.5" customHeight="1"/>
    <row r="1040398" ht="10.5" customHeight="1"/>
    <row r="1040399" ht="10.5" customHeight="1"/>
    <row r="1040400" ht="10.5" customHeight="1"/>
    <row r="1040401" ht="10.5" customHeight="1"/>
    <row r="1040402" ht="10.5" customHeight="1"/>
    <row r="1040403" ht="10.5" customHeight="1"/>
    <row r="1040404" ht="10.5" customHeight="1"/>
    <row r="1040405" ht="10.5" customHeight="1"/>
    <row r="1040406" ht="10.5" customHeight="1"/>
    <row r="1040407" ht="10.5" customHeight="1"/>
    <row r="1040408" ht="10.5" customHeight="1"/>
    <row r="1040409" ht="10.5" customHeight="1"/>
    <row r="1040410" ht="10.5" customHeight="1"/>
    <row r="1040411" ht="10.5" customHeight="1"/>
    <row r="1040412" ht="10.5" customHeight="1"/>
    <row r="1040413" ht="10.5" customHeight="1"/>
    <row r="1040414" ht="10.5" customHeight="1"/>
    <row r="1040415" ht="10.5" customHeight="1"/>
    <row r="1040416" ht="10.5" customHeight="1"/>
    <row r="1040417" ht="10.5" customHeight="1"/>
    <row r="1040418" ht="10.5" customHeight="1"/>
    <row r="1040419" ht="10.5" customHeight="1"/>
    <row r="1040420" ht="10.5" customHeight="1"/>
    <row r="1040421" ht="10.5" customHeight="1"/>
    <row r="1040422" ht="10.5" customHeight="1"/>
    <row r="1040423" ht="10.5" customHeight="1"/>
    <row r="1040424" ht="10.5" customHeight="1"/>
    <row r="1040425" ht="10.5" customHeight="1"/>
    <row r="1040426" ht="10.5" customHeight="1"/>
    <row r="1040427" ht="10.5" customHeight="1"/>
    <row r="1040428" ht="10.5" customHeight="1"/>
    <row r="1040429" ht="10.5" customHeight="1"/>
    <row r="1040430" ht="10.5" customHeight="1"/>
    <row r="1040431" ht="10.5" customHeight="1"/>
    <row r="1040432" ht="10.5" customHeight="1"/>
    <row r="1040433" ht="10.5" customHeight="1"/>
    <row r="1040434" ht="10.5" customHeight="1"/>
    <row r="1040435" ht="10.5" customHeight="1"/>
    <row r="1040436" ht="10.5" customHeight="1"/>
    <row r="1040437" ht="10.5" customHeight="1"/>
    <row r="1040438" ht="10.5" customHeight="1"/>
    <row r="1040439" ht="10.5" customHeight="1"/>
    <row r="1040440" ht="10.5" customHeight="1"/>
    <row r="1040441" ht="10.5" customHeight="1"/>
    <row r="1040442" ht="10.5" customHeight="1"/>
    <row r="1040443" ht="10.5" customHeight="1"/>
    <row r="1040444" ht="10.5" customHeight="1"/>
    <row r="1040445" ht="10.5" customHeight="1"/>
    <row r="1040446" ht="10.5" customHeight="1"/>
    <row r="1040447" ht="10.5" customHeight="1"/>
    <row r="1040448" ht="10.5" customHeight="1"/>
    <row r="1040449" ht="10.5" customHeight="1"/>
    <row r="1040450" ht="10.5" customHeight="1"/>
    <row r="1040451" ht="10.5" customHeight="1"/>
    <row r="1040452" ht="10.5" customHeight="1"/>
    <row r="1040453" ht="10.5" customHeight="1"/>
    <row r="1040454" ht="10.5" customHeight="1"/>
    <row r="1040455" ht="10.5" customHeight="1"/>
    <row r="1040456" ht="10.5" customHeight="1"/>
    <row r="1040457" ht="10.5" customHeight="1"/>
    <row r="1040458" ht="10.5" customHeight="1"/>
    <row r="1040459" ht="10.5" customHeight="1"/>
    <row r="1040460" ht="10.5" customHeight="1"/>
    <row r="1040461" ht="10.5" customHeight="1"/>
    <row r="1040462" ht="10.5" customHeight="1"/>
    <row r="1040463" ht="10.5" customHeight="1"/>
    <row r="1040464" ht="10.5" customHeight="1"/>
    <row r="1040465" ht="10.5" customHeight="1"/>
    <row r="1040466" ht="10.5" customHeight="1"/>
    <row r="1040467" ht="10.5" customHeight="1"/>
    <row r="1040468" ht="10.5" customHeight="1"/>
    <row r="1040469" ht="10.5" customHeight="1"/>
    <row r="1040470" ht="10.5" customHeight="1"/>
    <row r="1040471" ht="10.5" customHeight="1"/>
    <row r="1040472" ht="10.5" customHeight="1"/>
    <row r="1040473" ht="10.5" customHeight="1"/>
    <row r="1040474" ht="10.5" customHeight="1"/>
    <row r="1040475" ht="10.5" customHeight="1"/>
    <row r="1040476" ht="10.5" customHeight="1"/>
    <row r="1040477" ht="10.5" customHeight="1"/>
    <row r="1040478" ht="10.5" customHeight="1"/>
    <row r="1040479" ht="10.5" customHeight="1"/>
    <row r="1040480" ht="10.5" customHeight="1"/>
    <row r="1040481" ht="10.5" customHeight="1"/>
    <row r="1040482" ht="10.5" customHeight="1"/>
    <row r="1040483" ht="10.5" customHeight="1"/>
    <row r="1040484" ht="10.5" customHeight="1"/>
    <row r="1040485" ht="10.5" customHeight="1"/>
    <row r="1040486" ht="10.5" customHeight="1"/>
    <row r="1040487" ht="10.5" customHeight="1"/>
    <row r="1040488" ht="10.5" customHeight="1"/>
    <row r="1040489" ht="10.5" customHeight="1"/>
    <row r="1040490" ht="10.5" customHeight="1"/>
    <row r="1040491" ht="10.5" customHeight="1"/>
    <row r="1040492" ht="10.5" customHeight="1"/>
    <row r="1040493" ht="10.5" customHeight="1"/>
    <row r="1040494" ht="10.5" customHeight="1"/>
    <row r="1040495" ht="10.5" customHeight="1"/>
    <row r="1040496" ht="10.5" customHeight="1"/>
    <row r="1040497" ht="10.5" customHeight="1"/>
    <row r="1040498" ht="10.5" customHeight="1"/>
    <row r="1040499" ht="10.5" customHeight="1"/>
    <row r="1040500" ht="10.5" customHeight="1"/>
    <row r="1040501" ht="10.5" customHeight="1"/>
    <row r="1040502" ht="10.5" customHeight="1"/>
    <row r="1040503" ht="10.5" customHeight="1"/>
    <row r="1040504" ht="10.5" customHeight="1"/>
    <row r="1040505" ht="10.5" customHeight="1"/>
    <row r="1040506" ht="10.5" customHeight="1"/>
    <row r="1040507" ht="10.5" customHeight="1"/>
    <row r="1040508" ht="10.5" customHeight="1"/>
    <row r="1040509" ht="10.5" customHeight="1"/>
    <row r="1040510" ht="10.5" customHeight="1"/>
    <row r="1040511" ht="10.5" customHeight="1"/>
    <row r="1040512" ht="10.5" customHeight="1"/>
    <row r="1040513" ht="10.5" customHeight="1"/>
    <row r="1040514" ht="10.5" customHeight="1"/>
    <row r="1040515" ht="10.5" customHeight="1"/>
    <row r="1040516" ht="10.5" customHeight="1"/>
    <row r="1040517" ht="10.5" customHeight="1"/>
    <row r="1040518" ht="10.5" customHeight="1"/>
    <row r="1040519" ht="10.5" customHeight="1"/>
    <row r="1040520" ht="10.5" customHeight="1"/>
    <row r="1040521" ht="10.5" customHeight="1"/>
    <row r="1040522" ht="10.5" customHeight="1"/>
    <row r="1040523" ht="10.5" customHeight="1"/>
    <row r="1040524" ht="10.5" customHeight="1"/>
    <row r="1040525" ht="10.5" customHeight="1"/>
    <row r="1040526" ht="10.5" customHeight="1"/>
    <row r="1040527" ht="10.5" customHeight="1"/>
    <row r="1040528" ht="10.5" customHeight="1"/>
    <row r="1040529" ht="10.5" customHeight="1"/>
    <row r="1040530" ht="10.5" customHeight="1"/>
    <row r="1040531" ht="10.5" customHeight="1"/>
    <row r="1040532" ht="10.5" customHeight="1"/>
    <row r="1040533" ht="10.5" customHeight="1"/>
    <row r="1040534" ht="10.5" customHeight="1"/>
    <row r="1040535" ht="10.5" customHeight="1"/>
    <row r="1040536" ht="10.5" customHeight="1"/>
    <row r="1040537" ht="10.5" customHeight="1"/>
    <row r="1040538" ht="10.5" customHeight="1"/>
    <row r="1040539" ht="10.5" customHeight="1"/>
    <row r="1040540" ht="10.5" customHeight="1"/>
    <row r="1040541" ht="10.5" customHeight="1"/>
    <row r="1040542" ht="10.5" customHeight="1"/>
    <row r="1040543" ht="10.5" customHeight="1"/>
    <row r="1040544" ht="10.5" customHeight="1"/>
    <row r="1040545" ht="10.5" customHeight="1"/>
    <row r="1040546" ht="10.5" customHeight="1"/>
    <row r="1040547" ht="10.5" customHeight="1"/>
    <row r="1040548" ht="10.5" customHeight="1"/>
    <row r="1040549" ht="10.5" customHeight="1"/>
    <row r="1040550" ht="10.5" customHeight="1"/>
    <row r="1040551" ht="10.5" customHeight="1"/>
    <row r="1040552" ht="10.5" customHeight="1"/>
    <row r="1040553" ht="10.5" customHeight="1"/>
    <row r="1040554" ht="10.5" customHeight="1"/>
    <row r="1040555" ht="10.5" customHeight="1"/>
    <row r="1040556" ht="10.5" customHeight="1"/>
    <row r="1040557" ht="10.5" customHeight="1"/>
    <row r="1040558" ht="10.5" customHeight="1"/>
    <row r="1040559" ht="10.5" customHeight="1"/>
    <row r="1040560" ht="10.5" customHeight="1"/>
    <row r="1040561" ht="10.5" customHeight="1"/>
    <row r="1040562" ht="10.5" customHeight="1"/>
    <row r="1040563" ht="10.5" customHeight="1"/>
    <row r="1040564" ht="10.5" customHeight="1"/>
    <row r="1040565" ht="10.5" customHeight="1"/>
    <row r="1040566" ht="10.5" customHeight="1"/>
    <row r="1040567" ht="10.5" customHeight="1"/>
    <row r="1040568" ht="10.5" customHeight="1"/>
    <row r="1040569" ht="10.5" customHeight="1"/>
    <row r="1040570" ht="10.5" customHeight="1"/>
    <row r="1040571" ht="10.5" customHeight="1"/>
    <row r="1040572" ht="10.5" customHeight="1"/>
    <row r="1040573" ht="10.5" customHeight="1"/>
    <row r="1040574" ht="10.5" customHeight="1"/>
    <row r="1040575" ht="10.5" customHeight="1"/>
    <row r="1040576" ht="10.5" customHeight="1"/>
    <row r="1040577" ht="10.5" customHeight="1"/>
    <row r="1040578" ht="10.5" customHeight="1"/>
    <row r="1040579" ht="10.5" customHeight="1"/>
    <row r="1040580" ht="10.5" customHeight="1"/>
    <row r="1040581" ht="10.5" customHeight="1"/>
    <row r="1040582" ht="10.5" customHeight="1"/>
    <row r="1040583" ht="10.5" customHeight="1"/>
    <row r="1040584" ht="10.5" customHeight="1"/>
    <row r="1040585" ht="10.5" customHeight="1"/>
    <row r="1040586" ht="10.5" customHeight="1"/>
    <row r="1040587" ht="10.5" customHeight="1"/>
    <row r="1040588" ht="10.5" customHeight="1"/>
    <row r="1040589" ht="10.5" customHeight="1"/>
    <row r="1040590" ht="10.5" customHeight="1"/>
    <row r="1040591" ht="10.5" customHeight="1"/>
    <row r="1040592" ht="10.5" customHeight="1"/>
    <row r="1040593" ht="10.5" customHeight="1"/>
    <row r="1040594" ht="10.5" customHeight="1"/>
    <row r="1040595" ht="10.5" customHeight="1"/>
    <row r="1040596" ht="10.5" customHeight="1"/>
    <row r="1040597" ht="10.5" customHeight="1"/>
    <row r="1040598" ht="10.5" customHeight="1"/>
    <row r="1040599" ht="10.5" customHeight="1"/>
    <row r="1040600" ht="10.5" customHeight="1"/>
    <row r="1040601" ht="10.5" customHeight="1"/>
    <row r="1040602" ht="10.5" customHeight="1"/>
    <row r="1040603" ht="10.5" customHeight="1"/>
    <row r="1040604" ht="10.5" customHeight="1"/>
    <row r="1040605" ht="10.5" customHeight="1"/>
    <row r="1040606" ht="10.5" customHeight="1"/>
    <row r="1040607" ht="10.5" customHeight="1"/>
    <row r="1040608" ht="10.5" customHeight="1"/>
    <row r="1040609" ht="10.5" customHeight="1"/>
    <row r="1040610" ht="10.5" customHeight="1"/>
    <row r="1040611" ht="10.5" customHeight="1"/>
    <row r="1040612" ht="10.5" customHeight="1"/>
    <row r="1040613" ht="10.5" customHeight="1"/>
    <row r="1040614" ht="10.5" customHeight="1"/>
    <row r="1040615" ht="10.5" customHeight="1"/>
    <row r="1040616" ht="10.5" customHeight="1"/>
    <row r="1040617" ht="10.5" customHeight="1"/>
    <row r="1040618" ht="10.5" customHeight="1"/>
    <row r="1040619" ht="10.5" customHeight="1"/>
    <row r="1040620" ht="10.5" customHeight="1"/>
    <row r="1040621" ht="10.5" customHeight="1"/>
    <row r="1040622" ht="10.5" customHeight="1"/>
    <row r="1040623" ht="10.5" customHeight="1"/>
    <row r="1040624" ht="10.5" customHeight="1"/>
    <row r="1040625" ht="10.5" customHeight="1"/>
    <row r="1040626" ht="10.5" customHeight="1"/>
    <row r="1040627" ht="10.5" customHeight="1"/>
    <row r="1040628" ht="10.5" customHeight="1"/>
    <row r="1040629" ht="10.5" customHeight="1"/>
    <row r="1040630" ht="10.5" customHeight="1"/>
    <row r="1040631" ht="10.5" customHeight="1"/>
    <row r="1040632" ht="10.5" customHeight="1"/>
    <row r="1040633" ht="10.5" customHeight="1"/>
    <row r="1040634" ht="10.5" customHeight="1"/>
    <row r="1040635" ht="10.5" customHeight="1"/>
    <row r="1040636" ht="10.5" customHeight="1"/>
    <row r="1040637" ht="10.5" customHeight="1"/>
    <row r="1040638" ht="10.5" customHeight="1"/>
    <row r="1040639" ht="10.5" customHeight="1"/>
    <row r="1040640" ht="10.5" customHeight="1"/>
    <row r="1040641" ht="10.5" customHeight="1"/>
    <row r="1040642" ht="10.5" customHeight="1"/>
    <row r="1040643" ht="10.5" customHeight="1"/>
    <row r="1040644" ht="10.5" customHeight="1"/>
    <row r="1040645" ht="10.5" customHeight="1"/>
    <row r="1040646" ht="10.5" customHeight="1"/>
    <row r="1040647" ht="10.5" customHeight="1"/>
    <row r="1040648" ht="10.5" customHeight="1"/>
    <row r="1040649" ht="10.5" customHeight="1"/>
    <row r="1040650" ht="10.5" customHeight="1"/>
    <row r="1040651" ht="10.5" customHeight="1"/>
    <row r="1040652" ht="10.5" customHeight="1"/>
    <row r="1040653" ht="10.5" customHeight="1"/>
    <row r="1040654" ht="10.5" customHeight="1"/>
    <row r="1040655" ht="10.5" customHeight="1"/>
    <row r="1040656" ht="10.5" customHeight="1"/>
    <row r="1040657" ht="10.5" customHeight="1"/>
    <row r="1040658" ht="10.5" customHeight="1"/>
    <row r="1040659" ht="10.5" customHeight="1"/>
    <row r="1040660" ht="10.5" customHeight="1"/>
    <row r="1040661" ht="10.5" customHeight="1"/>
    <row r="1040662" ht="10.5" customHeight="1"/>
    <row r="1040663" ht="10.5" customHeight="1"/>
    <row r="1040664" ht="10.5" customHeight="1"/>
    <row r="1040665" ht="10.5" customHeight="1"/>
    <row r="1040666" ht="10.5" customHeight="1"/>
    <row r="1040667" ht="10.5" customHeight="1"/>
    <row r="1040668" ht="10.5" customHeight="1"/>
    <row r="1040669" ht="10.5" customHeight="1"/>
    <row r="1040670" ht="10.5" customHeight="1"/>
    <row r="1040671" ht="10.5" customHeight="1"/>
    <row r="1040672" ht="10.5" customHeight="1"/>
    <row r="1040673" ht="10.5" customHeight="1"/>
    <row r="1040674" ht="10.5" customHeight="1"/>
    <row r="1040675" ht="10.5" customHeight="1"/>
    <row r="1040676" ht="10.5" customHeight="1"/>
    <row r="1040677" ht="10.5" customHeight="1"/>
    <row r="1040678" ht="10.5" customHeight="1"/>
    <row r="1040679" ht="10.5" customHeight="1"/>
    <row r="1040680" ht="10.5" customHeight="1"/>
    <row r="1040681" ht="10.5" customHeight="1"/>
    <row r="1040682" ht="10.5" customHeight="1"/>
    <row r="1040683" ht="10.5" customHeight="1"/>
    <row r="1040684" ht="10.5" customHeight="1"/>
    <row r="1040685" ht="10.5" customHeight="1"/>
    <row r="1040686" ht="10.5" customHeight="1"/>
    <row r="1040687" ht="10.5" customHeight="1"/>
    <row r="1040688" ht="10.5" customHeight="1"/>
    <row r="1040689" ht="10.5" customHeight="1"/>
    <row r="1040690" ht="10.5" customHeight="1"/>
    <row r="1040691" ht="10.5" customHeight="1"/>
    <row r="1040692" ht="10.5" customHeight="1"/>
    <row r="1040693" ht="10.5" customHeight="1"/>
    <row r="1040694" ht="10.5" customHeight="1"/>
    <row r="1040695" ht="10.5" customHeight="1"/>
    <row r="1040696" ht="10.5" customHeight="1"/>
    <row r="1040697" ht="10.5" customHeight="1"/>
    <row r="1040698" ht="10.5" customHeight="1"/>
    <row r="1040699" ht="10.5" customHeight="1"/>
    <row r="1040700" ht="10.5" customHeight="1"/>
    <row r="1040701" ht="10.5" customHeight="1"/>
    <row r="1040702" ht="10.5" customHeight="1"/>
    <row r="1040703" ht="10.5" customHeight="1"/>
    <row r="1040704" ht="10.5" customHeight="1"/>
    <row r="1040705" ht="10.5" customHeight="1"/>
    <row r="1040706" ht="10.5" customHeight="1"/>
    <row r="1040707" ht="10.5" customHeight="1"/>
    <row r="1040708" ht="10.5" customHeight="1"/>
    <row r="1040709" ht="10.5" customHeight="1"/>
    <row r="1040710" ht="10.5" customHeight="1"/>
    <row r="1040711" ht="10.5" customHeight="1"/>
    <row r="1040712" ht="10.5" customHeight="1"/>
    <row r="1040713" ht="10.5" customHeight="1"/>
    <row r="1040714" ht="10.5" customHeight="1"/>
    <row r="1040715" ht="10.5" customHeight="1"/>
    <row r="1040716" ht="10.5" customHeight="1"/>
    <row r="1040717" ht="10.5" customHeight="1"/>
    <row r="1040718" ht="10.5" customHeight="1"/>
    <row r="1040719" ht="10.5" customHeight="1"/>
    <row r="1040720" ht="10.5" customHeight="1"/>
    <row r="1040721" ht="10.5" customHeight="1"/>
    <row r="1040722" ht="10.5" customHeight="1"/>
    <row r="1040723" ht="10.5" customHeight="1"/>
    <row r="1040724" ht="10.5" customHeight="1"/>
    <row r="1040725" ht="10.5" customHeight="1"/>
    <row r="1040726" ht="10.5" customHeight="1"/>
    <row r="1040727" ht="10.5" customHeight="1"/>
    <row r="1040728" ht="10.5" customHeight="1"/>
    <row r="1040729" ht="10.5" customHeight="1"/>
    <row r="1040730" ht="10.5" customHeight="1"/>
    <row r="1040731" ht="10.5" customHeight="1"/>
    <row r="1040732" ht="10.5" customHeight="1"/>
    <row r="1040733" ht="10.5" customHeight="1"/>
    <row r="1040734" ht="10.5" customHeight="1"/>
    <row r="1040735" ht="10.5" customHeight="1"/>
    <row r="1040736" ht="10.5" customHeight="1"/>
    <row r="1040737" ht="10.5" customHeight="1"/>
    <row r="1040738" ht="10.5" customHeight="1"/>
    <row r="1040739" ht="10.5" customHeight="1"/>
    <row r="1040740" ht="10.5" customHeight="1"/>
    <row r="1040741" ht="10.5" customHeight="1"/>
    <row r="1040742" ht="10.5" customHeight="1"/>
    <row r="1040743" ht="10.5" customHeight="1"/>
    <row r="1040744" ht="10.5" customHeight="1"/>
    <row r="1040745" ht="10.5" customHeight="1"/>
    <row r="1040746" ht="10.5" customHeight="1"/>
    <row r="1040747" ht="10.5" customHeight="1"/>
    <row r="1040748" ht="10.5" customHeight="1"/>
    <row r="1040749" ht="10.5" customHeight="1"/>
    <row r="1040750" ht="10.5" customHeight="1"/>
    <row r="1040751" ht="10.5" customHeight="1"/>
    <row r="1040752" ht="10.5" customHeight="1"/>
    <row r="1040753" ht="10.5" customHeight="1"/>
    <row r="1040754" ht="10.5" customHeight="1"/>
    <row r="1040755" ht="10.5" customHeight="1"/>
    <row r="1040756" ht="10.5" customHeight="1"/>
    <row r="1040757" ht="10.5" customHeight="1"/>
    <row r="1040758" ht="10.5" customHeight="1"/>
    <row r="1040759" ht="10.5" customHeight="1"/>
    <row r="1040760" ht="10.5" customHeight="1"/>
    <row r="1040761" ht="10.5" customHeight="1"/>
    <row r="1040762" ht="10.5" customHeight="1"/>
    <row r="1040763" ht="10.5" customHeight="1"/>
    <row r="1040764" ht="10.5" customHeight="1"/>
    <row r="1040765" ht="10.5" customHeight="1"/>
    <row r="1040766" ht="10.5" customHeight="1"/>
    <row r="1040767" ht="10.5" customHeight="1"/>
    <row r="1040768" ht="10.5" customHeight="1"/>
    <row r="1040769" ht="10.5" customHeight="1"/>
    <row r="1040770" ht="10.5" customHeight="1"/>
    <row r="1040771" ht="10.5" customHeight="1"/>
    <row r="1040772" ht="10.5" customHeight="1"/>
    <row r="1040773" ht="10.5" customHeight="1"/>
    <row r="1040774" ht="10.5" customHeight="1"/>
    <row r="1040775" ht="10.5" customHeight="1"/>
    <row r="1040776" ht="10.5" customHeight="1"/>
    <row r="1040777" ht="10.5" customHeight="1"/>
    <row r="1040778" ht="10.5" customHeight="1"/>
    <row r="1040779" ht="10.5" customHeight="1"/>
    <row r="1040780" ht="10.5" customHeight="1"/>
    <row r="1040781" ht="10.5" customHeight="1"/>
    <row r="1040782" ht="10.5" customHeight="1"/>
    <row r="1040783" ht="10.5" customHeight="1"/>
    <row r="1040784" ht="10.5" customHeight="1"/>
    <row r="1040785" ht="10.5" customHeight="1"/>
    <row r="1040786" ht="10.5" customHeight="1"/>
    <row r="1040787" ht="10.5" customHeight="1"/>
    <row r="1040788" ht="10.5" customHeight="1"/>
    <row r="1040789" ht="10.5" customHeight="1"/>
    <row r="1040790" ht="10.5" customHeight="1"/>
    <row r="1040791" ht="10.5" customHeight="1"/>
    <row r="1040792" ht="10.5" customHeight="1"/>
    <row r="1040793" ht="10.5" customHeight="1"/>
    <row r="1040794" ht="10.5" customHeight="1"/>
    <row r="1040795" ht="10.5" customHeight="1"/>
    <row r="1040796" ht="10.5" customHeight="1"/>
    <row r="1040797" ht="10.5" customHeight="1"/>
    <row r="1040798" ht="10.5" customHeight="1"/>
    <row r="1040799" ht="10.5" customHeight="1"/>
    <row r="1040800" ht="10.5" customHeight="1"/>
    <row r="1040801" ht="10.5" customHeight="1"/>
    <row r="1040802" ht="10.5" customHeight="1"/>
    <row r="1040803" ht="10.5" customHeight="1"/>
    <row r="1040804" ht="10.5" customHeight="1"/>
    <row r="1040805" ht="10.5" customHeight="1"/>
    <row r="1040806" ht="10.5" customHeight="1"/>
    <row r="1040807" ht="10.5" customHeight="1"/>
    <row r="1040808" ht="10.5" customHeight="1"/>
    <row r="1040809" ht="10.5" customHeight="1"/>
    <row r="1040810" ht="10.5" customHeight="1"/>
    <row r="1040811" ht="10.5" customHeight="1"/>
    <row r="1040812" ht="10.5" customHeight="1"/>
    <row r="1040813" ht="10.5" customHeight="1"/>
    <row r="1040814" ht="10.5" customHeight="1"/>
    <row r="1040815" ht="10.5" customHeight="1"/>
    <row r="1040816" ht="10.5" customHeight="1"/>
    <row r="1040817" ht="10.5" customHeight="1"/>
    <row r="1040818" ht="10.5" customHeight="1"/>
    <row r="1040819" ht="10.5" customHeight="1"/>
    <row r="1040820" ht="10.5" customHeight="1"/>
    <row r="1040821" ht="10.5" customHeight="1"/>
    <row r="1040822" ht="10.5" customHeight="1"/>
    <row r="1040823" ht="10.5" customHeight="1"/>
    <row r="1040824" ht="10.5" customHeight="1"/>
    <row r="1040825" ht="10.5" customHeight="1"/>
    <row r="1040826" ht="10.5" customHeight="1"/>
    <row r="1040827" ht="10.5" customHeight="1"/>
    <row r="1040828" ht="10.5" customHeight="1"/>
    <row r="1040829" ht="10.5" customHeight="1"/>
    <row r="1040830" ht="10.5" customHeight="1"/>
    <row r="1040831" ht="10.5" customHeight="1"/>
    <row r="1040832" ht="10.5" customHeight="1"/>
    <row r="1040833" ht="10.5" customHeight="1"/>
    <row r="1040834" ht="10.5" customHeight="1"/>
    <row r="1040835" ht="10.5" customHeight="1"/>
    <row r="1040836" ht="10.5" customHeight="1"/>
    <row r="1040837" ht="10.5" customHeight="1"/>
    <row r="1040838" ht="10.5" customHeight="1"/>
    <row r="1040839" ht="10.5" customHeight="1"/>
    <row r="1040840" ht="10.5" customHeight="1"/>
    <row r="1040841" ht="10.5" customHeight="1"/>
    <row r="1040842" ht="10.5" customHeight="1"/>
    <row r="1040843" ht="10.5" customHeight="1"/>
    <row r="1040844" ht="10.5" customHeight="1"/>
    <row r="1040845" ht="10.5" customHeight="1"/>
    <row r="1040846" ht="10.5" customHeight="1"/>
    <row r="1040847" ht="10.5" customHeight="1"/>
    <row r="1040848" ht="10.5" customHeight="1"/>
    <row r="1040849" ht="10.5" customHeight="1"/>
    <row r="1040850" ht="10.5" customHeight="1"/>
    <row r="1040851" ht="10.5" customHeight="1"/>
    <row r="1040852" ht="10.5" customHeight="1"/>
    <row r="1040853" ht="10.5" customHeight="1"/>
    <row r="1040854" ht="10.5" customHeight="1"/>
    <row r="1040855" ht="10.5" customHeight="1"/>
    <row r="1040856" ht="10.5" customHeight="1"/>
    <row r="1040857" ht="10.5" customHeight="1"/>
    <row r="1040858" ht="10.5" customHeight="1"/>
    <row r="1040859" ht="10.5" customHeight="1"/>
    <row r="1040860" ht="10.5" customHeight="1"/>
    <row r="1040861" ht="10.5" customHeight="1"/>
    <row r="1040862" ht="10.5" customHeight="1"/>
    <row r="1040863" ht="10.5" customHeight="1"/>
    <row r="1040864" ht="10.5" customHeight="1"/>
    <row r="1040865" ht="10.5" customHeight="1"/>
    <row r="1040866" ht="10.5" customHeight="1"/>
    <row r="1040867" ht="10.5" customHeight="1"/>
    <row r="1040868" ht="10.5" customHeight="1"/>
    <row r="1040869" ht="10.5" customHeight="1"/>
    <row r="1040870" ht="10.5" customHeight="1"/>
    <row r="1040871" ht="10.5" customHeight="1"/>
    <row r="1040872" ht="10.5" customHeight="1"/>
    <row r="1040873" ht="10.5" customHeight="1"/>
    <row r="1040874" ht="10.5" customHeight="1"/>
    <row r="1040875" ht="10.5" customHeight="1"/>
    <row r="1040876" ht="10.5" customHeight="1"/>
    <row r="1040877" ht="10.5" customHeight="1"/>
    <row r="1040878" ht="10.5" customHeight="1"/>
    <row r="1040879" ht="10.5" customHeight="1"/>
    <row r="1040880" ht="10.5" customHeight="1"/>
    <row r="1040881" ht="10.5" customHeight="1"/>
    <row r="1040882" ht="10.5" customHeight="1"/>
    <row r="1040883" ht="10.5" customHeight="1"/>
    <row r="1040884" ht="10.5" customHeight="1"/>
    <row r="1040885" ht="10.5" customHeight="1"/>
    <row r="1040886" ht="10.5" customHeight="1"/>
    <row r="1040887" ht="10.5" customHeight="1"/>
    <row r="1040888" ht="10.5" customHeight="1"/>
    <row r="1040889" ht="10.5" customHeight="1"/>
    <row r="1040890" ht="10.5" customHeight="1"/>
    <row r="1040891" ht="10.5" customHeight="1"/>
    <row r="1040892" ht="10.5" customHeight="1"/>
    <row r="1040893" ht="10.5" customHeight="1"/>
    <row r="1040894" ht="10.5" customHeight="1"/>
    <row r="1040895" ht="10.5" customHeight="1"/>
    <row r="1040896" ht="10.5" customHeight="1"/>
    <row r="1040897" ht="10.5" customHeight="1"/>
    <row r="1040898" ht="10.5" customHeight="1"/>
    <row r="1040899" ht="10.5" customHeight="1"/>
    <row r="1040900" ht="10.5" customHeight="1"/>
    <row r="1040901" ht="10.5" customHeight="1"/>
    <row r="1040902" ht="10.5" customHeight="1"/>
    <row r="1040903" ht="10.5" customHeight="1"/>
    <row r="1040904" ht="10.5" customHeight="1"/>
    <row r="1040905" ht="10.5" customHeight="1"/>
    <row r="1040906" ht="10.5" customHeight="1"/>
    <row r="1040907" ht="10.5" customHeight="1"/>
    <row r="1040908" ht="10.5" customHeight="1"/>
    <row r="1040909" ht="10.5" customHeight="1"/>
    <row r="1040910" ht="10.5" customHeight="1"/>
    <row r="1040911" ht="10.5" customHeight="1"/>
    <row r="1040912" ht="10.5" customHeight="1"/>
    <row r="1040913" ht="10.5" customHeight="1"/>
    <row r="1040914" ht="10.5" customHeight="1"/>
    <row r="1040915" ht="10.5" customHeight="1"/>
    <row r="1040916" ht="10.5" customHeight="1"/>
    <row r="1040917" ht="10.5" customHeight="1"/>
    <row r="1040918" ht="10.5" customHeight="1"/>
    <row r="1040919" ht="10.5" customHeight="1"/>
    <row r="1040920" ht="10.5" customHeight="1"/>
    <row r="1040921" ht="10.5" customHeight="1"/>
    <row r="1040922" ht="10.5" customHeight="1"/>
    <row r="1040923" ht="10.5" customHeight="1"/>
    <row r="1040924" ht="10.5" customHeight="1"/>
    <row r="1040925" ht="10.5" customHeight="1"/>
    <row r="1040926" ht="10.5" customHeight="1"/>
    <row r="1040927" ht="10.5" customHeight="1"/>
    <row r="1040928" ht="10.5" customHeight="1"/>
    <row r="1040929" ht="10.5" customHeight="1"/>
    <row r="1040930" ht="10.5" customHeight="1"/>
    <row r="1040931" ht="10.5" customHeight="1"/>
    <row r="1040932" ht="10.5" customHeight="1"/>
    <row r="1040933" ht="10.5" customHeight="1"/>
    <row r="1040934" ht="10.5" customHeight="1"/>
    <row r="1040935" ht="10.5" customHeight="1"/>
    <row r="1040936" ht="10.5" customHeight="1"/>
    <row r="1040937" ht="10.5" customHeight="1"/>
    <row r="1040938" ht="10.5" customHeight="1"/>
    <row r="1040939" ht="10.5" customHeight="1"/>
    <row r="1040940" ht="10.5" customHeight="1"/>
    <row r="1040941" ht="10.5" customHeight="1"/>
    <row r="1040942" ht="10.5" customHeight="1"/>
    <row r="1040943" ht="10.5" customHeight="1"/>
    <row r="1040944" ht="10.5" customHeight="1"/>
    <row r="1040945" ht="10.5" customHeight="1"/>
    <row r="1040946" ht="10.5" customHeight="1"/>
    <row r="1040947" ht="10.5" customHeight="1"/>
    <row r="1040948" ht="10.5" customHeight="1"/>
    <row r="1040949" ht="10.5" customHeight="1"/>
    <row r="1040950" ht="10.5" customHeight="1"/>
    <row r="1040951" ht="10.5" customHeight="1"/>
    <row r="1040952" ht="10.5" customHeight="1"/>
    <row r="1040953" ht="10.5" customHeight="1"/>
    <row r="1040954" ht="10.5" customHeight="1"/>
    <row r="1040955" ht="10.5" customHeight="1"/>
    <row r="1040956" ht="10.5" customHeight="1"/>
    <row r="1040957" ht="10.5" customHeight="1"/>
    <row r="1040958" ht="10.5" customHeight="1"/>
    <row r="1040959" ht="10.5" customHeight="1"/>
    <row r="1040960" ht="10.5" customHeight="1"/>
    <row r="1040961" ht="10.5" customHeight="1"/>
    <row r="1040962" ht="10.5" customHeight="1"/>
    <row r="1040963" ht="10.5" customHeight="1"/>
    <row r="1040964" ht="10.5" customHeight="1"/>
    <row r="1040965" ht="10.5" customHeight="1"/>
    <row r="1040966" ht="10.5" customHeight="1"/>
    <row r="1040967" ht="10.5" customHeight="1"/>
    <row r="1040968" ht="10.5" customHeight="1"/>
    <row r="1040969" ht="10.5" customHeight="1"/>
    <row r="1040970" ht="10.5" customHeight="1"/>
    <row r="1040971" ht="10.5" customHeight="1"/>
    <row r="1040972" ht="10.5" customHeight="1"/>
    <row r="1040973" ht="10.5" customHeight="1"/>
    <row r="1040974" ht="10.5" customHeight="1"/>
    <row r="1040975" ht="10.5" customHeight="1"/>
    <row r="1040976" ht="10.5" customHeight="1"/>
    <row r="1040977" ht="10.5" customHeight="1"/>
    <row r="1040978" ht="10.5" customHeight="1"/>
    <row r="1040979" ht="10.5" customHeight="1"/>
    <row r="1040980" ht="10.5" customHeight="1"/>
    <row r="1040981" ht="10.5" customHeight="1"/>
    <row r="1040982" ht="10.5" customHeight="1"/>
    <row r="1040983" ht="10.5" customHeight="1"/>
    <row r="1040984" ht="10.5" customHeight="1"/>
    <row r="1040985" ht="10.5" customHeight="1"/>
    <row r="1040986" ht="10.5" customHeight="1"/>
    <row r="1040987" ht="10.5" customHeight="1"/>
    <row r="1040988" ht="10.5" customHeight="1"/>
    <row r="1040989" ht="10.5" customHeight="1"/>
    <row r="1040990" ht="10.5" customHeight="1"/>
    <row r="1040991" ht="10.5" customHeight="1"/>
    <row r="1040992" ht="10.5" customHeight="1"/>
    <row r="1040993" ht="10.5" customHeight="1"/>
    <row r="1040994" ht="10.5" customHeight="1"/>
    <row r="1040995" ht="10.5" customHeight="1"/>
    <row r="1040996" ht="10.5" customHeight="1"/>
    <row r="1040997" ht="10.5" customHeight="1"/>
    <row r="1040998" ht="10.5" customHeight="1"/>
    <row r="1040999" ht="10.5" customHeight="1"/>
    <row r="1041000" ht="10.5" customHeight="1"/>
    <row r="1041001" ht="10.5" customHeight="1"/>
    <row r="1041002" ht="10.5" customHeight="1"/>
    <row r="1041003" ht="10.5" customHeight="1"/>
    <row r="1041004" ht="10.5" customHeight="1"/>
    <row r="1041005" ht="10.5" customHeight="1"/>
    <row r="1041006" ht="10.5" customHeight="1"/>
    <row r="1041007" ht="10.5" customHeight="1"/>
    <row r="1041008" ht="10.5" customHeight="1"/>
    <row r="1041009" ht="10.5" customHeight="1"/>
    <row r="1041010" ht="10.5" customHeight="1"/>
    <row r="1041011" ht="10.5" customHeight="1"/>
    <row r="1041012" ht="10.5" customHeight="1"/>
    <row r="1041013" ht="10.5" customHeight="1"/>
    <row r="1041014" ht="10.5" customHeight="1"/>
    <row r="1041015" ht="10.5" customHeight="1"/>
    <row r="1041016" ht="10.5" customHeight="1"/>
    <row r="1041017" ht="10.5" customHeight="1"/>
    <row r="1041018" ht="10.5" customHeight="1"/>
    <row r="1041019" ht="10.5" customHeight="1"/>
    <row r="1041020" ht="10.5" customHeight="1"/>
    <row r="1041021" ht="10.5" customHeight="1"/>
    <row r="1041022" ht="10.5" customHeight="1"/>
    <row r="1041023" ht="10.5" customHeight="1"/>
    <row r="1041024" ht="10.5" customHeight="1"/>
    <row r="1041025" ht="10.5" customHeight="1"/>
    <row r="1041026" ht="10.5" customHeight="1"/>
    <row r="1041027" ht="10.5" customHeight="1"/>
    <row r="1041028" ht="10.5" customHeight="1"/>
    <row r="1041029" ht="10.5" customHeight="1"/>
    <row r="1041030" ht="10.5" customHeight="1"/>
    <row r="1041031" ht="10.5" customHeight="1"/>
    <row r="1041032" ht="10.5" customHeight="1"/>
    <row r="1041033" ht="10.5" customHeight="1"/>
    <row r="1041034" ht="10.5" customHeight="1"/>
    <row r="1041035" ht="10.5" customHeight="1"/>
    <row r="1041036" ht="10.5" customHeight="1"/>
    <row r="1041037" ht="10.5" customHeight="1"/>
    <row r="1041038" ht="10.5" customHeight="1"/>
    <row r="1041039" ht="10.5" customHeight="1"/>
    <row r="1041040" ht="10.5" customHeight="1"/>
    <row r="1041041" ht="10.5" customHeight="1"/>
    <row r="1041042" ht="10.5" customHeight="1"/>
    <row r="1041043" ht="10.5" customHeight="1"/>
    <row r="1041044" ht="10.5" customHeight="1"/>
    <row r="1041045" ht="10.5" customHeight="1"/>
    <row r="1041046" ht="10.5" customHeight="1"/>
    <row r="1041047" ht="10.5" customHeight="1"/>
    <row r="1041048" ht="10.5" customHeight="1"/>
    <row r="1041049" ht="10.5" customHeight="1"/>
    <row r="1041050" ht="10.5" customHeight="1"/>
    <row r="1041051" ht="10.5" customHeight="1"/>
    <row r="1041052" ht="10.5" customHeight="1"/>
    <row r="1041053" ht="10.5" customHeight="1"/>
    <row r="1041054" ht="10.5" customHeight="1"/>
    <row r="1041055" ht="10.5" customHeight="1"/>
    <row r="1041056" ht="10.5" customHeight="1"/>
    <row r="1041057" ht="10.5" customHeight="1"/>
    <row r="1041058" ht="10.5" customHeight="1"/>
    <row r="1041059" ht="10.5" customHeight="1"/>
    <row r="1041060" ht="10.5" customHeight="1"/>
    <row r="1041061" ht="10.5" customHeight="1"/>
    <row r="1041062" ht="10.5" customHeight="1"/>
    <row r="1041063" ht="10.5" customHeight="1"/>
    <row r="1041064" ht="10.5" customHeight="1"/>
    <row r="1041065" ht="10.5" customHeight="1"/>
    <row r="1041066" ht="10.5" customHeight="1"/>
    <row r="1041067" ht="10.5" customHeight="1"/>
    <row r="1041068" ht="10.5" customHeight="1"/>
    <row r="1041069" ht="10.5" customHeight="1"/>
    <row r="1041070" ht="10.5" customHeight="1"/>
    <row r="1041071" ht="10.5" customHeight="1"/>
    <row r="1041072" ht="10.5" customHeight="1"/>
    <row r="1041073" ht="10.5" customHeight="1"/>
    <row r="1041074" ht="10.5" customHeight="1"/>
    <row r="1041075" ht="10.5" customHeight="1"/>
    <row r="1041076" ht="10.5" customHeight="1"/>
    <row r="1041077" ht="10.5" customHeight="1"/>
    <row r="1041078" ht="10.5" customHeight="1"/>
    <row r="1041079" ht="10.5" customHeight="1"/>
    <row r="1041080" ht="10.5" customHeight="1"/>
    <row r="1041081" ht="10.5" customHeight="1"/>
    <row r="1041082" ht="10.5" customHeight="1"/>
    <row r="1041083" ht="10.5" customHeight="1"/>
    <row r="1041084" ht="10.5" customHeight="1"/>
    <row r="1041085" ht="10.5" customHeight="1"/>
    <row r="1041086" ht="10.5" customHeight="1"/>
    <row r="1041087" ht="10.5" customHeight="1"/>
    <row r="1041088" ht="10.5" customHeight="1"/>
    <row r="1041089" ht="10.5" customHeight="1"/>
    <row r="1041090" ht="10.5" customHeight="1"/>
    <row r="1041091" ht="10.5" customHeight="1"/>
    <row r="1041092" ht="10.5" customHeight="1"/>
    <row r="1041093" ht="10.5" customHeight="1"/>
    <row r="1041094" ht="10.5" customHeight="1"/>
    <row r="1041095" ht="10.5" customHeight="1"/>
    <row r="1041096" ht="10.5" customHeight="1"/>
    <row r="1041097" ht="10.5" customHeight="1"/>
    <row r="1041098" ht="10.5" customHeight="1"/>
    <row r="1041099" ht="10.5" customHeight="1"/>
    <row r="1041100" ht="10.5" customHeight="1"/>
    <row r="1041101" ht="10.5" customHeight="1"/>
    <row r="1041102" ht="10.5" customHeight="1"/>
    <row r="1041103" ht="10.5" customHeight="1"/>
    <row r="1041104" ht="10.5" customHeight="1"/>
    <row r="1041105" ht="10.5" customHeight="1"/>
    <row r="1041106" ht="10.5" customHeight="1"/>
    <row r="1041107" ht="10.5" customHeight="1"/>
    <row r="1041108" ht="10.5" customHeight="1"/>
    <row r="1041109" ht="10.5" customHeight="1"/>
    <row r="1041110" ht="10.5" customHeight="1"/>
    <row r="1041111" ht="10.5" customHeight="1"/>
    <row r="1041112" ht="10.5" customHeight="1"/>
    <row r="1041113" ht="10.5" customHeight="1"/>
    <row r="1041114" ht="10.5" customHeight="1"/>
    <row r="1041115" ht="10.5" customHeight="1"/>
    <row r="1041116" ht="10.5" customHeight="1"/>
    <row r="1041117" ht="10.5" customHeight="1"/>
    <row r="1041118" ht="10.5" customHeight="1"/>
    <row r="1041119" ht="10.5" customHeight="1"/>
    <row r="1041120" ht="10.5" customHeight="1"/>
    <row r="1041121" ht="10.5" customHeight="1"/>
    <row r="1041122" ht="10.5" customHeight="1"/>
    <row r="1041123" ht="10.5" customHeight="1"/>
    <row r="1041124" ht="10.5" customHeight="1"/>
    <row r="1041125" ht="10.5" customHeight="1"/>
    <row r="1041126" ht="10.5" customHeight="1"/>
    <row r="1041127" ht="10.5" customHeight="1"/>
    <row r="1041128" ht="10.5" customHeight="1"/>
    <row r="1041129" ht="10.5" customHeight="1"/>
    <row r="1041130" ht="10.5" customHeight="1"/>
    <row r="1041131" ht="10.5" customHeight="1"/>
    <row r="1041132" ht="10.5" customHeight="1"/>
    <row r="1041133" ht="10.5" customHeight="1"/>
    <row r="1041134" ht="10.5" customHeight="1"/>
    <row r="1041135" ht="10.5" customHeight="1"/>
    <row r="1041136" ht="10.5" customHeight="1"/>
    <row r="1041137" ht="10.5" customHeight="1"/>
    <row r="1041138" ht="10.5" customHeight="1"/>
    <row r="1041139" ht="10.5" customHeight="1"/>
    <row r="1041140" ht="10.5" customHeight="1"/>
    <row r="1041141" ht="10.5" customHeight="1"/>
    <row r="1041142" ht="10.5" customHeight="1"/>
    <row r="1041143" ht="10.5" customHeight="1"/>
    <row r="1041144" ht="10.5" customHeight="1"/>
    <row r="1041145" ht="10.5" customHeight="1"/>
    <row r="1041146" ht="10.5" customHeight="1"/>
    <row r="1041147" ht="10.5" customHeight="1"/>
    <row r="1041148" ht="10.5" customHeight="1"/>
    <row r="1041149" ht="10.5" customHeight="1"/>
    <row r="1041150" ht="10.5" customHeight="1"/>
    <row r="1041151" ht="10.5" customHeight="1"/>
    <row r="1041152" ht="10.5" customHeight="1"/>
    <row r="1041153" ht="10.5" customHeight="1"/>
    <row r="1041154" ht="10.5" customHeight="1"/>
    <row r="1041155" ht="10.5" customHeight="1"/>
    <row r="1041156" ht="10.5" customHeight="1"/>
    <row r="1041157" ht="10.5" customHeight="1"/>
    <row r="1041158" ht="10.5" customHeight="1"/>
    <row r="1041159" ht="10.5" customHeight="1"/>
    <row r="1041160" ht="10.5" customHeight="1"/>
    <row r="1041161" ht="10.5" customHeight="1"/>
    <row r="1041162" ht="10.5" customHeight="1"/>
    <row r="1041163" ht="10.5" customHeight="1"/>
    <row r="1041164" ht="10.5" customHeight="1"/>
    <row r="1041165" ht="10.5" customHeight="1"/>
    <row r="1041166" ht="10.5" customHeight="1"/>
    <row r="1041167" ht="10.5" customHeight="1"/>
    <row r="1041168" ht="10.5" customHeight="1"/>
    <row r="1041169" ht="10.5" customHeight="1"/>
    <row r="1041170" ht="10.5" customHeight="1"/>
    <row r="1041171" ht="10.5" customHeight="1"/>
    <row r="1041172" ht="10.5" customHeight="1"/>
    <row r="1041173" ht="10.5" customHeight="1"/>
    <row r="1041174" ht="10.5" customHeight="1"/>
    <row r="1041175" ht="10.5" customHeight="1"/>
    <row r="1041176" ht="10.5" customHeight="1"/>
    <row r="1041177" ht="10.5" customHeight="1"/>
    <row r="1041178" ht="10.5" customHeight="1"/>
    <row r="1041179" ht="10.5" customHeight="1"/>
    <row r="1041180" ht="10.5" customHeight="1"/>
    <row r="1041181" ht="10.5" customHeight="1"/>
    <row r="1041182" ht="10.5" customHeight="1"/>
    <row r="1041183" ht="10.5" customHeight="1"/>
    <row r="1041184" ht="10.5" customHeight="1"/>
    <row r="1041185" ht="10.5" customHeight="1"/>
    <row r="1041186" ht="10.5" customHeight="1"/>
    <row r="1041187" ht="10.5" customHeight="1"/>
    <row r="1041188" ht="10.5" customHeight="1"/>
    <row r="1041189" ht="10.5" customHeight="1"/>
    <row r="1041190" ht="10.5" customHeight="1"/>
    <row r="1041191" ht="10.5" customHeight="1"/>
    <row r="1041192" ht="10.5" customHeight="1"/>
    <row r="1041193" ht="10.5" customHeight="1"/>
    <row r="1041194" ht="10.5" customHeight="1"/>
    <row r="1041195" ht="10.5" customHeight="1"/>
    <row r="1041196" ht="10.5" customHeight="1"/>
    <row r="1041197" ht="10.5" customHeight="1"/>
    <row r="1041198" ht="10.5" customHeight="1"/>
    <row r="1041199" ht="10.5" customHeight="1"/>
    <row r="1041200" ht="10.5" customHeight="1"/>
    <row r="1041201" ht="10.5" customHeight="1"/>
    <row r="1041202" ht="10.5" customHeight="1"/>
    <row r="1041203" ht="10.5" customHeight="1"/>
    <row r="1041204" ht="10.5" customHeight="1"/>
    <row r="1041205" ht="10.5" customHeight="1"/>
    <row r="1041206" ht="10.5" customHeight="1"/>
    <row r="1041207" ht="10.5" customHeight="1"/>
    <row r="1041208" ht="10.5" customHeight="1"/>
    <row r="1041209" ht="10.5" customHeight="1"/>
    <row r="1041210" ht="10.5" customHeight="1"/>
    <row r="1041211" ht="10.5" customHeight="1"/>
    <row r="1041212" ht="10.5" customHeight="1"/>
    <row r="1041213" ht="10.5" customHeight="1"/>
    <row r="1041214" ht="10.5" customHeight="1"/>
    <row r="1041215" ht="10.5" customHeight="1"/>
    <row r="1041216" ht="10.5" customHeight="1"/>
    <row r="1041217" ht="10.5" customHeight="1"/>
    <row r="1041218" ht="10.5" customHeight="1"/>
    <row r="1041219" ht="10.5" customHeight="1"/>
    <row r="1041220" ht="10.5" customHeight="1"/>
    <row r="1041221" ht="10.5" customHeight="1"/>
    <row r="1041222" ht="10.5" customHeight="1"/>
    <row r="1041223" ht="10.5" customHeight="1"/>
    <row r="1041224" ht="10.5" customHeight="1"/>
    <row r="1041225" ht="10.5" customHeight="1"/>
    <row r="1041226" ht="10.5" customHeight="1"/>
    <row r="1041227" ht="10.5" customHeight="1"/>
    <row r="1041228" ht="10.5" customHeight="1"/>
    <row r="1041229" ht="10.5" customHeight="1"/>
    <row r="1041230" ht="10.5" customHeight="1"/>
    <row r="1041231" ht="10.5" customHeight="1"/>
    <row r="1041232" ht="10.5" customHeight="1"/>
    <row r="1041233" ht="10.5" customHeight="1"/>
    <row r="1041234" ht="10.5" customHeight="1"/>
    <row r="1041235" ht="10.5" customHeight="1"/>
    <row r="1041236" ht="10.5" customHeight="1"/>
    <row r="1041237" ht="10.5" customHeight="1"/>
    <row r="1041238" ht="10.5" customHeight="1"/>
    <row r="1041239" ht="10.5" customHeight="1"/>
    <row r="1041240" ht="10.5" customHeight="1"/>
    <row r="1041241" ht="10.5" customHeight="1"/>
    <row r="1041242" ht="10.5" customHeight="1"/>
    <row r="1041243" ht="10.5" customHeight="1"/>
    <row r="1041244" ht="10.5" customHeight="1"/>
    <row r="1041245" ht="10.5" customHeight="1"/>
    <row r="1041246" ht="10.5" customHeight="1"/>
    <row r="1041247" ht="10.5" customHeight="1"/>
    <row r="1041248" ht="10.5" customHeight="1"/>
    <row r="1041249" ht="10.5" customHeight="1"/>
    <row r="1041250" ht="10.5" customHeight="1"/>
    <row r="1041251" ht="10.5" customHeight="1"/>
    <row r="1041252" ht="10.5" customHeight="1"/>
    <row r="1041253" ht="10.5" customHeight="1"/>
    <row r="1041254" ht="10.5" customHeight="1"/>
    <row r="1041255" ht="10.5" customHeight="1"/>
    <row r="1041256" ht="10.5" customHeight="1"/>
    <row r="1041257" ht="10.5" customHeight="1"/>
    <row r="1041258" ht="10.5" customHeight="1"/>
    <row r="1041259" ht="10.5" customHeight="1"/>
    <row r="1041260" ht="10.5" customHeight="1"/>
    <row r="1041261" ht="10.5" customHeight="1"/>
    <row r="1041262" ht="10.5" customHeight="1"/>
    <row r="1041263" ht="10.5" customHeight="1"/>
    <row r="1041264" ht="10.5" customHeight="1"/>
    <row r="1041265" ht="10.5" customHeight="1"/>
    <row r="1041266" ht="10.5" customHeight="1"/>
    <row r="1041267" ht="10.5" customHeight="1"/>
    <row r="1041268" ht="10.5" customHeight="1"/>
    <row r="1041269" ht="10.5" customHeight="1"/>
    <row r="1041270" ht="10.5" customHeight="1"/>
    <row r="1041271" ht="10.5" customHeight="1"/>
    <row r="1041272" ht="10.5" customHeight="1"/>
    <row r="1041273" ht="10.5" customHeight="1"/>
    <row r="1041274" ht="10.5" customHeight="1"/>
    <row r="1041275" ht="10.5" customHeight="1"/>
    <row r="1041276" ht="10.5" customHeight="1"/>
    <row r="1041277" ht="10.5" customHeight="1"/>
    <row r="1041278" ht="10.5" customHeight="1"/>
    <row r="1041279" ht="10.5" customHeight="1"/>
    <row r="1041280" ht="10.5" customHeight="1"/>
    <row r="1041281" ht="10.5" customHeight="1"/>
    <row r="1041282" ht="10.5" customHeight="1"/>
    <row r="1041283" ht="10.5" customHeight="1"/>
    <row r="1041284" ht="10.5" customHeight="1"/>
    <row r="1041285" ht="10.5" customHeight="1"/>
    <row r="1041286" ht="10.5" customHeight="1"/>
    <row r="1041287" ht="10.5" customHeight="1"/>
    <row r="1041288" ht="10.5" customHeight="1"/>
    <row r="1041289" ht="10.5" customHeight="1"/>
    <row r="1041290" ht="10.5" customHeight="1"/>
    <row r="1041291" ht="10.5" customHeight="1"/>
    <row r="1041292" ht="10.5" customHeight="1"/>
    <row r="1041293" ht="10.5" customHeight="1"/>
    <row r="1041294" ht="10.5" customHeight="1"/>
    <row r="1041295" ht="10.5" customHeight="1"/>
    <row r="1041296" ht="10.5" customHeight="1"/>
    <row r="1041297" ht="10.5" customHeight="1"/>
    <row r="1041298" ht="10.5" customHeight="1"/>
    <row r="1041299" ht="10.5" customHeight="1"/>
    <row r="1041300" ht="10.5" customHeight="1"/>
    <row r="1041301" ht="10.5" customHeight="1"/>
    <row r="1041302" ht="10.5" customHeight="1"/>
    <row r="1041303" ht="10.5" customHeight="1"/>
    <row r="1041304" ht="10.5" customHeight="1"/>
    <row r="1041305" ht="10.5" customHeight="1"/>
    <row r="1041306" ht="10.5" customHeight="1"/>
    <row r="1041307" ht="10.5" customHeight="1"/>
    <row r="1041308" ht="10.5" customHeight="1"/>
    <row r="1041309" ht="10.5" customHeight="1"/>
    <row r="1041310" ht="10.5" customHeight="1"/>
    <row r="1041311" ht="10.5" customHeight="1"/>
    <row r="1041312" ht="10.5" customHeight="1"/>
    <row r="1041313" ht="10.5" customHeight="1"/>
    <row r="1041314" ht="10.5" customHeight="1"/>
    <row r="1041315" ht="10.5" customHeight="1"/>
    <row r="1041316" ht="10.5" customHeight="1"/>
    <row r="1041317" ht="10.5" customHeight="1"/>
    <row r="1041318" ht="10.5" customHeight="1"/>
    <row r="1041319" ht="10.5" customHeight="1"/>
    <row r="1041320" ht="10.5" customHeight="1"/>
    <row r="1041321" ht="10.5" customHeight="1"/>
    <row r="1041322" ht="10.5" customHeight="1"/>
    <row r="1041323" ht="10.5" customHeight="1"/>
    <row r="1041324" ht="10.5" customHeight="1"/>
    <row r="1041325" ht="10.5" customHeight="1"/>
    <row r="1041326" ht="10.5" customHeight="1"/>
    <row r="1041327" ht="10.5" customHeight="1"/>
    <row r="1041328" ht="10.5" customHeight="1"/>
    <row r="1041329" ht="10.5" customHeight="1"/>
    <row r="1041330" ht="10.5" customHeight="1"/>
    <row r="1041331" ht="10.5" customHeight="1"/>
    <row r="1041332" ht="10.5" customHeight="1"/>
    <row r="1041333" ht="10.5" customHeight="1"/>
    <row r="1041334" ht="10.5" customHeight="1"/>
    <row r="1041335" ht="10.5" customHeight="1"/>
    <row r="1041336" ht="10.5" customHeight="1"/>
    <row r="1041337" ht="10.5" customHeight="1"/>
    <row r="1041338" ht="10.5" customHeight="1"/>
    <row r="1041339" ht="10.5" customHeight="1"/>
    <row r="1041340" ht="10.5" customHeight="1"/>
    <row r="1041341" ht="10.5" customHeight="1"/>
    <row r="1041342" ht="10.5" customHeight="1"/>
    <row r="1041343" ht="10.5" customHeight="1"/>
    <row r="1041344" ht="10.5" customHeight="1"/>
    <row r="1041345" ht="10.5" customHeight="1"/>
    <row r="1041346" ht="10.5" customHeight="1"/>
    <row r="1041347" ht="10.5" customHeight="1"/>
    <row r="1041348" ht="10.5" customHeight="1"/>
    <row r="1041349" ht="10.5" customHeight="1"/>
    <row r="1041350" ht="10.5" customHeight="1"/>
    <row r="1041351" ht="10.5" customHeight="1"/>
    <row r="1041352" ht="10.5" customHeight="1"/>
    <row r="1041353" ht="10.5" customHeight="1"/>
    <row r="1041354" ht="10.5" customHeight="1"/>
    <row r="1041355" ht="10.5" customHeight="1"/>
    <row r="1041356" ht="10.5" customHeight="1"/>
    <row r="1041357" ht="10.5" customHeight="1"/>
    <row r="1041358" ht="10.5" customHeight="1"/>
    <row r="1041359" ht="10.5" customHeight="1"/>
    <row r="1041360" ht="10.5" customHeight="1"/>
    <row r="1041361" ht="10.5" customHeight="1"/>
    <row r="1041362" ht="10.5" customHeight="1"/>
    <row r="1041363" ht="10.5" customHeight="1"/>
    <row r="1041364" ht="10.5" customHeight="1"/>
    <row r="1041365" ht="10.5" customHeight="1"/>
    <row r="1041366" ht="10.5" customHeight="1"/>
    <row r="1041367" ht="10.5" customHeight="1"/>
    <row r="1041368" ht="10.5" customHeight="1"/>
    <row r="1041369" ht="10.5" customHeight="1"/>
    <row r="1041370" ht="10.5" customHeight="1"/>
    <row r="1041371" ht="10.5" customHeight="1"/>
    <row r="1041372" ht="10.5" customHeight="1"/>
    <row r="1041373" ht="10.5" customHeight="1"/>
    <row r="1041374" ht="10.5" customHeight="1"/>
    <row r="1041375" ht="10.5" customHeight="1"/>
    <row r="1041376" ht="10.5" customHeight="1"/>
    <row r="1041377" ht="10.5" customHeight="1"/>
    <row r="1041378" ht="10.5" customHeight="1"/>
    <row r="1041379" ht="10.5" customHeight="1"/>
    <row r="1041380" ht="10.5" customHeight="1"/>
    <row r="1041381" ht="10.5" customHeight="1"/>
    <row r="1041382" ht="10.5" customHeight="1"/>
    <row r="1041383" ht="10.5" customHeight="1"/>
    <row r="1041384" ht="10.5" customHeight="1"/>
    <row r="1041385" ht="10.5" customHeight="1"/>
    <row r="1041386" ht="10.5" customHeight="1"/>
    <row r="1041387" ht="10.5" customHeight="1"/>
    <row r="1041388" ht="10.5" customHeight="1"/>
    <row r="1041389" ht="10.5" customHeight="1"/>
    <row r="1041390" ht="10.5" customHeight="1"/>
    <row r="1041391" ht="10.5" customHeight="1"/>
    <row r="1041392" ht="10.5" customHeight="1"/>
    <row r="1041393" ht="10.5" customHeight="1"/>
    <row r="1041394" ht="10.5" customHeight="1"/>
    <row r="1041395" ht="10.5" customHeight="1"/>
    <row r="1041396" ht="10.5" customHeight="1"/>
    <row r="1041397" ht="10.5" customHeight="1"/>
    <row r="1041398" ht="10.5" customHeight="1"/>
    <row r="1041399" ht="10.5" customHeight="1"/>
    <row r="1041400" ht="10.5" customHeight="1"/>
    <row r="1041401" ht="10.5" customHeight="1"/>
    <row r="1041402" ht="10.5" customHeight="1"/>
    <row r="1041403" ht="10.5" customHeight="1"/>
    <row r="1041404" ht="10.5" customHeight="1"/>
    <row r="1041405" ht="10.5" customHeight="1"/>
    <row r="1041406" ht="10.5" customHeight="1"/>
    <row r="1041407" ht="10.5" customHeight="1"/>
    <row r="1041408" ht="10.5" customHeight="1"/>
    <row r="1041409" ht="10.5" customHeight="1"/>
    <row r="1041410" ht="10.5" customHeight="1"/>
    <row r="1041411" ht="10.5" customHeight="1"/>
    <row r="1041412" ht="10.5" customHeight="1"/>
    <row r="1041413" ht="10.5" customHeight="1"/>
    <row r="1041414" ht="10.5" customHeight="1"/>
    <row r="1041415" ht="10.5" customHeight="1"/>
    <row r="1041416" ht="10.5" customHeight="1"/>
    <row r="1041417" ht="10.5" customHeight="1"/>
    <row r="1041418" ht="10.5" customHeight="1"/>
    <row r="1041419" ht="10.5" customHeight="1"/>
    <row r="1041420" ht="10.5" customHeight="1"/>
    <row r="1041421" ht="10.5" customHeight="1"/>
    <row r="1041422" ht="10.5" customHeight="1"/>
    <row r="1041423" ht="10.5" customHeight="1"/>
    <row r="1041424" ht="10.5" customHeight="1"/>
    <row r="1041425" ht="10.5" customHeight="1"/>
    <row r="1041426" ht="10.5" customHeight="1"/>
    <row r="1041427" ht="10.5" customHeight="1"/>
    <row r="1041428" ht="10.5" customHeight="1"/>
    <row r="1041429" ht="10.5" customHeight="1"/>
    <row r="1041430" ht="10.5" customHeight="1"/>
    <row r="1041431" ht="10.5" customHeight="1"/>
    <row r="1041432" ht="10.5" customHeight="1"/>
    <row r="1041433" ht="10.5" customHeight="1"/>
    <row r="1041434" ht="10.5" customHeight="1"/>
    <row r="1041435" ht="10.5" customHeight="1"/>
    <row r="1041436" ht="10.5" customHeight="1"/>
    <row r="1041437" ht="10.5" customHeight="1"/>
    <row r="1041438" ht="10.5" customHeight="1"/>
    <row r="1041439" ht="10.5" customHeight="1"/>
    <row r="1041440" ht="10.5" customHeight="1"/>
    <row r="1041441" ht="10.5" customHeight="1"/>
    <row r="1041442" ht="10.5" customHeight="1"/>
    <row r="1041443" ht="10.5" customHeight="1"/>
    <row r="1041444" ht="10.5" customHeight="1"/>
    <row r="1041445" ht="10.5" customHeight="1"/>
    <row r="1041446" ht="10.5" customHeight="1"/>
    <row r="1041447" ht="10.5" customHeight="1"/>
    <row r="1041448" ht="10.5" customHeight="1"/>
    <row r="1041449" ht="10.5" customHeight="1"/>
    <row r="1041450" ht="10.5" customHeight="1"/>
    <row r="1041451" ht="10.5" customHeight="1"/>
    <row r="1041452" ht="10.5" customHeight="1"/>
    <row r="1041453" ht="10.5" customHeight="1"/>
    <row r="1041454" ht="10.5" customHeight="1"/>
    <row r="1041455" ht="10.5" customHeight="1"/>
    <row r="1041456" ht="10.5" customHeight="1"/>
    <row r="1041457" ht="10.5" customHeight="1"/>
    <row r="1041458" ht="10.5" customHeight="1"/>
    <row r="1041459" ht="10.5" customHeight="1"/>
    <row r="1041460" ht="10.5" customHeight="1"/>
    <row r="1041461" ht="10.5" customHeight="1"/>
    <row r="1041462" ht="10.5" customHeight="1"/>
    <row r="1041463" ht="10.5" customHeight="1"/>
    <row r="1041464" ht="10.5" customHeight="1"/>
    <row r="1041465" ht="10.5" customHeight="1"/>
    <row r="1041466" ht="10.5" customHeight="1"/>
    <row r="1041467" ht="10.5" customHeight="1"/>
    <row r="1041468" ht="10.5" customHeight="1"/>
    <row r="1041469" ht="10.5" customHeight="1"/>
    <row r="1041470" ht="10.5" customHeight="1"/>
    <row r="1041471" ht="10.5" customHeight="1"/>
    <row r="1041472" ht="10.5" customHeight="1"/>
    <row r="1041473" ht="10.5" customHeight="1"/>
    <row r="1041474" ht="10.5" customHeight="1"/>
    <row r="1041475" ht="10.5" customHeight="1"/>
    <row r="1041476" ht="10.5" customHeight="1"/>
    <row r="1041477" ht="10.5" customHeight="1"/>
    <row r="1041478" ht="10.5" customHeight="1"/>
    <row r="1041479" ht="10.5" customHeight="1"/>
    <row r="1041480" ht="10.5" customHeight="1"/>
    <row r="1041481" ht="10.5" customHeight="1"/>
    <row r="1041482" ht="10.5" customHeight="1"/>
    <row r="1041483" ht="10.5" customHeight="1"/>
    <row r="1041484" ht="10.5" customHeight="1"/>
    <row r="1041485" ht="10.5" customHeight="1"/>
    <row r="1041486" ht="10.5" customHeight="1"/>
    <row r="1041487" ht="10.5" customHeight="1"/>
    <row r="1041488" ht="10.5" customHeight="1"/>
    <row r="1041489" ht="10.5" customHeight="1"/>
    <row r="1041490" ht="10.5" customHeight="1"/>
    <row r="1041491" ht="10.5" customHeight="1"/>
    <row r="1041492" ht="10.5" customHeight="1"/>
    <row r="1041493" ht="10.5" customHeight="1"/>
    <row r="1041494" ht="10.5" customHeight="1"/>
    <row r="1041495" ht="10.5" customHeight="1"/>
    <row r="1041496" ht="10.5" customHeight="1"/>
    <row r="1041497" ht="10.5" customHeight="1"/>
    <row r="1041498" ht="10.5" customHeight="1"/>
    <row r="1041499" ht="10.5" customHeight="1"/>
    <row r="1041500" ht="10.5" customHeight="1"/>
    <row r="1041501" ht="10.5" customHeight="1"/>
    <row r="1041502" ht="10.5" customHeight="1"/>
    <row r="1041503" ht="10.5" customHeight="1"/>
    <row r="1041504" ht="10.5" customHeight="1"/>
    <row r="1041505" ht="10.5" customHeight="1"/>
    <row r="1041506" ht="10.5" customHeight="1"/>
    <row r="1041507" ht="10.5" customHeight="1"/>
    <row r="1041508" ht="10.5" customHeight="1"/>
    <row r="1041509" ht="10.5" customHeight="1"/>
    <row r="1041510" ht="10.5" customHeight="1"/>
    <row r="1041511" ht="10.5" customHeight="1"/>
    <row r="1041512" ht="10.5" customHeight="1"/>
    <row r="1041513" ht="10.5" customHeight="1"/>
    <row r="1041514" ht="10.5" customHeight="1"/>
    <row r="1041515" ht="10.5" customHeight="1"/>
    <row r="1041516" ht="10.5" customHeight="1"/>
    <row r="1041517" ht="10.5" customHeight="1"/>
    <row r="1041518" ht="10.5" customHeight="1"/>
    <row r="1041519" ht="10.5" customHeight="1"/>
    <row r="1041520" ht="10.5" customHeight="1"/>
    <row r="1041521" ht="10.5" customHeight="1"/>
    <row r="1041522" ht="10.5" customHeight="1"/>
    <row r="1041523" ht="10.5" customHeight="1"/>
    <row r="1041524" ht="10.5" customHeight="1"/>
    <row r="1041525" ht="10.5" customHeight="1"/>
    <row r="1041526" ht="10.5" customHeight="1"/>
    <row r="1041527" ht="10.5" customHeight="1"/>
    <row r="1041528" ht="10.5" customHeight="1"/>
    <row r="1041529" ht="10.5" customHeight="1"/>
    <row r="1041530" ht="10.5" customHeight="1"/>
    <row r="1041531" ht="10.5" customHeight="1"/>
    <row r="1041532" ht="10.5" customHeight="1"/>
    <row r="1041533" ht="10.5" customHeight="1"/>
    <row r="1041534" ht="10.5" customHeight="1"/>
    <row r="1041535" ht="10.5" customHeight="1"/>
    <row r="1041536" ht="10.5" customHeight="1"/>
    <row r="1041537" ht="10.5" customHeight="1"/>
    <row r="1041538" ht="10.5" customHeight="1"/>
    <row r="1041539" ht="10.5" customHeight="1"/>
    <row r="1041540" ht="10.5" customHeight="1"/>
    <row r="1041541" ht="10.5" customHeight="1"/>
    <row r="1041542" ht="10.5" customHeight="1"/>
    <row r="1041543" ht="10.5" customHeight="1"/>
    <row r="1041544" ht="10.5" customHeight="1"/>
    <row r="1041545" ht="10.5" customHeight="1"/>
    <row r="1041546" ht="10.5" customHeight="1"/>
    <row r="1041547" ht="10.5" customHeight="1"/>
    <row r="1041548" ht="10.5" customHeight="1"/>
    <row r="1041549" ht="10.5" customHeight="1"/>
    <row r="1041550" ht="10.5" customHeight="1"/>
    <row r="1041551" ht="10.5" customHeight="1"/>
    <row r="1041552" ht="10.5" customHeight="1"/>
    <row r="1041553" ht="10.5" customHeight="1"/>
    <row r="1041554" ht="10.5" customHeight="1"/>
    <row r="1041555" ht="10.5" customHeight="1"/>
    <row r="1041556" ht="10.5" customHeight="1"/>
    <row r="1041557" ht="10.5" customHeight="1"/>
    <row r="1041558" ht="10.5" customHeight="1"/>
    <row r="1041559" ht="10.5" customHeight="1"/>
    <row r="1041560" ht="10.5" customHeight="1"/>
    <row r="1041561" ht="10.5" customHeight="1"/>
    <row r="1041562" ht="10.5" customHeight="1"/>
    <row r="1041563" ht="10.5" customHeight="1"/>
    <row r="1041564" ht="10.5" customHeight="1"/>
    <row r="1041565" ht="10.5" customHeight="1"/>
    <row r="1041566" ht="10.5" customHeight="1"/>
    <row r="1041567" ht="10.5" customHeight="1"/>
    <row r="1041568" ht="10.5" customHeight="1"/>
    <row r="1041569" ht="10.5" customHeight="1"/>
    <row r="1041570" ht="10.5" customHeight="1"/>
    <row r="1041571" ht="10.5" customHeight="1"/>
    <row r="1041572" ht="10.5" customHeight="1"/>
    <row r="1041573" ht="10.5" customHeight="1"/>
    <row r="1041574" ht="10.5" customHeight="1"/>
    <row r="1041575" ht="10.5" customHeight="1"/>
    <row r="1041576" ht="10.5" customHeight="1"/>
    <row r="1041577" ht="10.5" customHeight="1"/>
    <row r="1041578" ht="10.5" customHeight="1"/>
    <row r="1041579" ht="10.5" customHeight="1"/>
    <row r="1041580" ht="10.5" customHeight="1"/>
    <row r="1041581" ht="10.5" customHeight="1"/>
    <row r="1041582" ht="10.5" customHeight="1"/>
    <row r="1041583" ht="10.5" customHeight="1"/>
    <row r="1041584" ht="10.5" customHeight="1"/>
    <row r="1041585" ht="10.5" customHeight="1"/>
    <row r="1041586" ht="10.5" customHeight="1"/>
    <row r="1041587" ht="10.5" customHeight="1"/>
    <row r="1041588" ht="10.5" customHeight="1"/>
    <row r="1041589" ht="10.5" customHeight="1"/>
    <row r="1041590" ht="10.5" customHeight="1"/>
    <row r="1041591" ht="10.5" customHeight="1"/>
    <row r="1041592" ht="10.5" customHeight="1"/>
    <row r="1041593" ht="10.5" customHeight="1"/>
    <row r="1041594" ht="10.5" customHeight="1"/>
    <row r="1041595" ht="10.5" customHeight="1"/>
    <row r="1041596" ht="10.5" customHeight="1"/>
    <row r="1041597" ht="10.5" customHeight="1"/>
    <row r="1041598" ht="10.5" customHeight="1"/>
    <row r="1041599" ht="10.5" customHeight="1"/>
    <row r="1041600" ht="10.5" customHeight="1"/>
    <row r="1041601" ht="10.5" customHeight="1"/>
    <row r="1041602" ht="10.5" customHeight="1"/>
    <row r="1041603" ht="10.5" customHeight="1"/>
    <row r="1041604" ht="10.5" customHeight="1"/>
    <row r="1041605" ht="10.5" customHeight="1"/>
    <row r="1041606" ht="10.5" customHeight="1"/>
    <row r="1041607" ht="10.5" customHeight="1"/>
    <row r="1041608" ht="10.5" customHeight="1"/>
    <row r="1041609" ht="10.5" customHeight="1"/>
    <row r="1041610" ht="10.5" customHeight="1"/>
    <row r="1041611" ht="10.5" customHeight="1"/>
    <row r="1041612" ht="10.5" customHeight="1"/>
    <row r="1041613" ht="10.5" customHeight="1"/>
    <row r="1041614" ht="10.5" customHeight="1"/>
    <row r="1041615" ht="10.5" customHeight="1"/>
    <row r="1041616" ht="10.5" customHeight="1"/>
    <row r="1041617" ht="10.5" customHeight="1"/>
    <row r="1041618" ht="10.5" customHeight="1"/>
    <row r="1041619" ht="10.5" customHeight="1"/>
    <row r="1041620" ht="10.5" customHeight="1"/>
    <row r="1041621" ht="10.5" customHeight="1"/>
    <row r="1041622" ht="10.5" customHeight="1"/>
    <row r="1041623" ht="10.5" customHeight="1"/>
    <row r="1041624" ht="10.5" customHeight="1"/>
    <row r="1041625" ht="10.5" customHeight="1"/>
    <row r="1041626" ht="10.5" customHeight="1"/>
    <row r="1041627" ht="10.5" customHeight="1"/>
    <row r="1041628" ht="10.5" customHeight="1"/>
    <row r="1041629" ht="10.5" customHeight="1"/>
    <row r="1041630" ht="10.5" customHeight="1"/>
    <row r="1041631" ht="10.5" customHeight="1"/>
    <row r="1041632" ht="10.5" customHeight="1"/>
    <row r="1041633" ht="10.5" customHeight="1"/>
    <row r="1041634" ht="10.5" customHeight="1"/>
    <row r="1041635" ht="10.5" customHeight="1"/>
    <row r="1041636" ht="10.5" customHeight="1"/>
    <row r="1041637" ht="10.5" customHeight="1"/>
    <row r="1041638" ht="10.5" customHeight="1"/>
    <row r="1041639" ht="10.5" customHeight="1"/>
    <row r="1041640" ht="10.5" customHeight="1"/>
    <row r="1041641" ht="10.5" customHeight="1"/>
    <row r="1041642" ht="10.5" customHeight="1"/>
    <row r="1041643" ht="10.5" customHeight="1"/>
    <row r="1041644" ht="10.5" customHeight="1"/>
    <row r="1041645" ht="10.5" customHeight="1"/>
    <row r="1041646" ht="10.5" customHeight="1"/>
    <row r="1041647" ht="10.5" customHeight="1"/>
    <row r="1041648" ht="10.5" customHeight="1"/>
    <row r="1041649" ht="10.5" customHeight="1"/>
    <row r="1041650" ht="10.5" customHeight="1"/>
    <row r="1041651" ht="10.5" customHeight="1"/>
    <row r="1041652" ht="10.5" customHeight="1"/>
    <row r="1041653" ht="10.5" customHeight="1"/>
    <row r="1041654" ht="10.5" customHeight="1"/>
    <row r="1041655" ht="10.5" customHeight="1"/>
    <row r="1041656" ht="10.5" customHeight="1"/>
    <row r="1041657" ht="10.5" customHeight="1"/>
    <row r="1041658" ht="10.5" customHeight="1"/>
    <row r="1041659" ht="10.5" customHeight="1"/>
    <row r="1041660" ht="10.5" customHeight="1"/>
    <row r="1041661" ht="10.5" customHeight="1"/>
    <row r="1041662" ht="10.5" customHeight="1"/>
    <row r="1041663" ht="10.5" customHeight="1"/>
    <row r="1041664" ht="10.5" customHeight="1"/>
    <row r="1041665" ht="10.5" customHeight="1"/>
    <row r="1041666" ht="10.5" customHeight="1"/>
    <row r="1041667" ht="10.5" customHeight="1"/>
    <row r="1041668" ht="10.5" customHeight="1"/>
    <row r="1041669" ht="10.5" customHeight="1"/>
    <row r="1041670" ht="10.5" customHeight="1"/>
    <row r="1041671" ht="10.5" customHeight="1"/>
    <row r="1041672" ht="10.5" customHeight="1"/>
    <row r="1041673" ht="10.5" customHeight="1"/>
    <row r="1041674" ht="10.5" customHeight="1"/>
    <row r="1041675" ht="10.5" customHeight="1"/>
    <row r="1041676" ht="10.5" customHeight="1"/>
    <row r="1041677" ht="10.5" customHeight="1"/>
    <row r="1041678" ht="10.5" customHeight="1"/>
    <row r="1041679" ht="10.5" customHeight="1"/>
    <row r="1041680" ht="10.5" customHeight="1"/>
    <row r="1041681" ht="10.5" customHeight="1"/>
    <row r="1041682" ht="10.5" customHeight="1"/>
    <row r="1041683" ht="10.5" customHeight="1"/>
    <row r="1041684" ht="10.5" customHeight="1"/>
    <row r="1041685" ht="10.5" customHeight="1"/>
    <row r="1041686" ht="10.5" customHeight="1"/>
    <row r="1041687" ht="10.5" customHeight="1"/>
    <row r="1041688" ht="10.5" customHeight="1"/>
    <row r="1041689" ht="10.5" customHeight="1"/>
    <row r="1041690" ht="10.5" customHeight="1"/>
    <row r="1041691" ht="10.5" customHeight="1"/>
    <row r="1041692" ht="10.5" customHeight="1"/>
    <row r="1041693" ht="10.5" customHeight="1"/>
    <row r="1041694" ht="10.5" customHeight="1"/>
    <row r="1041695" ht="10.5" customHeight="1"/>
    <row r="1041696" ht="10.5" customHeight="1"/>
    <row r="1041697" ht="10.5" customHeight="1"/>
    <row r="1041698" ht="10.5" customHeight="1"/>
    <row r="1041699" ht="10.5" customHeight="1"/>
    <row r="1041700" ht="10.5" customHeight="1"/>
    <row r="1041701" ht="10.5" customHeight="1"/>
    <row r="1041702" ht="10.5" customHeight="1"/>
    <row r="1041703" ht="10.5" customHeight="1"/>
    <row r="1041704" ht="10.5" customHeight="1"/>
    <row r="1041705" ht="10.5" customHeight="1"/>
    <row r="1041706" ht="10.5" customHeight="1"/>
    <row r="1041707" ht="10.5" customHeight="1"/>
    <row r="1041708" ht="10.5" customHeight="1"/>
    <row r="1041709" ht="10.5" customHeight="1"/>
    <row r="1041710" ht="10.5" customHeight="1"/>
    <row r="1041711" ht="10.5" customHeight="1"/>
    <row r="1041712" ht="10.5" customHeight="1"/>
    <row r="1041713" ht="10.5" customHeight="1"/>
    <row r="1041714" ht="10.5" customHeight="1"/>
    <row r="1041715" ht="10.5" customHeight="1"/>
    <row r="1041716" ht="10.5" customHeight="1"/>
    <row r="1041717" ht="10.5" customHeight="1"/>
    <row r="1041718" ht="10.5" customHeight="1"/>
    <row r="1041719" ht="10.5" customHeight="1"/>
    <row r="1041720" ht="10.5" customHeight="1"/>
    <row r="1041721" ht="10.5" customHeight="1"/>
    <row r="1041722" ht="10.5" customHeight="1"/>
    <row r="1041723" ht="10.5" customHeight="1"/>
    <row r="1041724" ht="10.5" customHeight="1"/>
    <row r="1041725" ht="10.5" customHeight="1"/>
    <row r="1041726" ht="10.5" customHeight="1"/>
    <row r="1041727" ht="10.5" customHeight="1"/>
    <row r="1041728" ht="10.5" customHeight="1"/>
    <row r="1041729" ht="10.5" customHeight="1"/>
    <row r="1041730" ht="10.5" customHeight="1"/>
    <row r="1041731" ht="10.5" customHeight="1"/>
    <row r="1041732" ht="10.5" customHeight="1"/>
    <row r="1041733" ht="10.5" customHeight="1"/>
    <row r="1041734" ht="10.5" customHeight="1"/>
    <row r="1041735" ht="10.5" customHeight="1"/>
    <row r="1041736" ht="10.5" customHeight="1"/>
    <row r="1041737" ht="10.5" customHeight="1"/>
    <row r="1041738" ht="10.5" customHeight="1"/>
    <row r="1041739" ht="10.5" customHeight="1"/>
    <row r="1041740" ht="10.5" customHeight="1"/>
    <row r="1041741" ht="10.5" customHeight="1"/>
    <row r="1041742" ht="10.5" customHeight="1"/>
    <row r="1041743" ht="10.5" customHeight="1"/>
    <row r="1041744" ht="10.5" customHeight="1"/>
    <row r="1041745" ht="10.5" customHeight="1"/>
    <row r="1041746" ht="10.5" customHeight="1"/>
    <row r="1041747" ht="10.5" customHeight="1"/>
    <row r="1041748" ht="10.5" customHeight="1"/>
    <row r="1041749" ht="10.5" customHeight="1"/>
    <row r="1041750" ht="10.5" customHeight="1"/>
    <row r="1041751" ht="10.5" customHeight="1"/>
    <row r="1041752" ht="10.5" customHeight="1"/>
    <row r="1041753" ht="10.5" customHeight="1"/>
    <row r="1041754" ht="10.5" customHeight="1"/>
    <row r="1041755" ht="10.5" customHeight="1"/>
    <row r="1041756" ht="10.5" customHeight="1"/>
    <row r="1041757" ht="10.5" customHeight="1"/>
    <row r="1041758" ht="10.5" customHeight="1"/>
    <row r="1041759" ht="10.5" customHeight="1"/>
    <row r="1041760" ht="10.5" customHeight="1"/>
    <row r="1041761" ht="10.5" customHeight="1"/>
    <row r="1041762" ht="10.5" customHeight="1"/>
    <row r="1041763" ht="10.5" customHeight="1"/>
    <row r="1041764" ht="10.5" customHeight="1"/>
    <row r="1041765" ht="10.5" customHeight="1"/>
    <row r="1041766" ht="10.5" customHeight="1"/>
    <row r="1041767" ht="10.5" customHeight="1"/>
    <row r="1041768" ht="10.5" customHeight="1"/>
    <row r="1041769" ht="10.5" customHeight="1"/>
    <row r="1041770" ht="10.5" customHeight="1"/>
    <row r="1041771" ht="10.5" customHeight="1"/>
    <row r="1041772" ht="10.5" customHeight="1"/>
    <row r="1041773" ht="10.5" customHeight="1"/>
    <row r="1041774" ht="10.5" customHeight="1"/>
    <row r="1041775" ht="10.5" customHeight="1"/>
    <row r="1041776" ht="10.5" customHeight="1"/>
    <row r="1041777" ht="10.5" customHeight="1"/>
    <row r="1041778" ht="10.5" customHeight="1"/>
    <row r="1041779" ht="10.5" customHeight="1"/>
    <row r="1041780" ht="10.5" customHeight="1"/>
    <row r="1041781" ht="10.5" customHeight="1"/>
    <row r="1041782" ht="10.5" customHeight="1"/>
    <row r="1041783" ht="10.5" customHeight="1"/>
    <row r="1041784" ht="10.5" customHeight="1"/>
    <row r="1041785" ht="10.5" customHeight="1"/>
    <row r="1041786" ht="10.5" customHeight="1"/>
    <row r="1041787" ht="10.5" customHeight="1"/>
    <row r="1041788" ht="10.5" customHeight="1"/>
    <row r="1041789" ht="10.5" customHeight="1"/>
    <row r="1041790" ht="10.5" customHeight="1"/>
    <row r="1041791" ht="10.5" customHeight="1"/>
    <row r="1041792" ht="10.5" customHeight="1"/>
    <row r="1041793" ht="10.5" customHeight="1"/>
    <row r="1041794" ht="10.5" customHeight="1"/>
    <row r="1041795" ht="10.5" customHeight="1"/>
    <row r="1041796" ht="10.5" customHeight="1"/>
    <row r="1041797" ht="10.5" customHeight="1"/>
    <row r="1041798" ht="10.5" customHeight="1"/>
    <row r="1041799" ht="10.5" customHeight="1"/>
    <row r="1041800" ht="10.5" customHeight="1"/>
    <row r="1041801" ht="10.5" customHeight="1"/>
    <row r="1041802" ht="10.5" customHeight="1"/>
    <row r="1041803" ht="10.5" customHeight="1"/>
    <row r="1041804" ht="10.5" customHeight="1"/>
    <row r="1041805" ht="10.5" customHeight="1"/>
    <row r="1041806" ht="10.5" customHeight="1"/>
    <row r="1041807" ht="10.5" customHeight="1"/>
    <row r="1041808" ht="10.5" customHeight="1"/>
    <row r="1041809" ht="10.5" customHeight="1"/>
    <row r="1041810" ht="10.5" customHeight="1"/>
    <row r="1041811" ht="10.5" customHeight="1"/>
    <row r="1041812" ht="10.5" customHeight="1"/>
    <row r="1041813" ht="10.5" customHeight="1"/>
    <row r="1041814" ht="10.5" customHeight="1"/>
    <row r="1041815" ht="10.5" customHeight="1"/>
    <row r="1041816" ht="10.5" customHeight="1"/>
    <row r="1041817" ht="10.5" customHeight="1"/>
    <row r="1041818" ht="10.5" customHeight="1"/>
    <row r="1041819" ht="10.5" customHeight="1"/>
    <row r="1041820" ht="10.5" customHeight="1"/>
    <row r="1041821" ht="10.5" customHeight="1"/>
    <row r="1041822" ht="10.5" customHeight="1"/>
    <row r="1041823" ht="10.5" customHeight="1"/>
    <row r="1041824" ht="10.5" customHeight="1"/>
    <row r="1041825" ht="10.5" customHeight="1"/>
    <row r="1041826" ht="10.5" customHeight="1"/>
    <row r="1041827" ht="10.5" customHeight="1"/>
    <row r="1041828" ht="10.5" customHeight="1"/>
    <row r="1041829" ht="10.5" customHeight="1"/>
    <row r="1041830" ht="10.5" customHeight="1"/>
    <row r="1041831" ht="10.5" customHeight="1"/>
    <row r="1041832" ht="10.5" customHeight="1"/>
    <row r="1041833" ht="10.5" customHeight="1"/>
    <row r="1041834" ht="10.5" customHeight="1"/>
    <row r="1041835" ht="10.5" customHeight="1"/>
    <row r="1041836" ht="10.5" customHeight="1"/>
    <row r="1041837" ht="10.5" customHeight="1"/>
    <row r="1041838" ht="10.5" customHeight="1"/>
    <row r="1041839" ht="10.5" customHeight="1"/>
    <row r="1041840" ht="10.5" customHeight="1"/>
    <row r="1041841" ht="10.5" customHeight="1"/>
    <row r="1041842" ht="10.5" customHeight="1"/>
    <row r="1041843" ht="10.5" customHeight="1"/>
    <row r="1041844" ht="10.5" customHeight="1"/>
    <row r="1041845" ht="10.5" customHeight="1"/>
    <row r="1041846" ht="10.5" customHeight="1"/>
    <row r="1041847" ht="10.5" customHeight="1"/>
    <row r="1041848" ht="10.5" customHeight="1"/>
    <row r="1041849" ht="10.5" customHeight="1"/>
    <row r="1041850" ht="10.5" customHeight="1"/>
    <row r="1041851" ht="10.5" customHeight="1"/>
    <row r="1041852" ht="10.5" customHeight="1"/>
    <row r="1041853" ht="10.5" customHeight="1"/>
    <row r="1041854" ht="10.5" customHeight="1"/>
    <row r="1041855" ht="10.5" customHeight="1"/>
    <row r="1041856" ht="10.5" customHeight="1"/>
    <row r="1041857" ht="10.5" customHeight="1"/>
    <row r="1041858" ht="10.5" customHeight="1"/>
    <row r="1041859" ht="10.5" customHeight="1"/>
    <row r="1041860" ht="10.5" customHeight="1"/>
    <row r="1041861" ht="10.5" customHeight="1"/>
    <row r="1041862" ht="10.5" customHeight="1"/>
    <row r="1041863" ht="10.5" customHeight="1"/>
    <row r="1041864" ht="10.5" customHeight="1"/>
    <row r="1041865" ht="10.5" customHeight="1"/>
    <row r="1041866" ht="10.5" customHeight="1"/>
    <row r="1041867" ht="10.5" customHeight="1"/>
    <row r="1041868" ht="10.5" customHeight="1"/>
    <row r="1041869" ht="10.5" customHeight="1"/>
    <row r="1041870" ht="10.5" customHeight="1"/>
    <row r="1041871" ht="10.5" customHeight="1"/>
    <row r="1041872" ht="10.5" customHeight="1"/>
    <row r="1041873" ht="10.5" customHeight="1"/>
    <row r="1041874" ht="10.5" customHeight="1"/>
    <row r="1041875" ht="10.5" customHeight="1"/>
    <row r="1041876" ht="10.5" customHeight="1"/>
    <row r="1041877" ht="10.5" customHeight="1"/>
    <row r="1041878" ht="10.5" customHeight="1"/>
    <row r="1041879" ht="10.5" customHeight="1"/>
    <row r="1041880" ht="10.5" customHeight="1"/>
    <row r="1041881" ht="10.5" customHeight="1"/>
    <row r="1041882" ht="10.5" customHeight="1"/>
    <row r="1041883" ht="10.5" customHeight="1"/>
    <row r="1041884" ht="10.5" customHeight="1"/>
    <row r="1041885" ht="10.5" customHeight="1"/>
    <row r="1041886" ht="10.5" customHeight="1"/>
    <row r="1041887" ht="10.5" customHeight="1"/>
    <row r="1041888" ht="10.5" customHeight="1"/>
    <row r="1041889" ht="10.5" customHeight="1"/>
    <row r="1041890" ht="10.5" customHeight="1"/>
    <row r="1041891" ht="10.5" customHeight="1"/>
    <row r="1041892" ht="10.5" customHeight="1"/>
    <row r="1041893" ht="10.5" customHeight="1"/>
    <row r="1041894" ht="10.5" customHeight="1"/>
    <row r="1041895" ht="10.5" customHeight="1"/>
    <row r="1041896" ht="10.5" customHeight="1"/>
    <row r="1041897" ht="10.5" customHeight="1"/>
    <row r="1041898" ht="10.5" customHeight="1"/>
    <row r="1041899" ht="10.5" customHeight="1"/>
    <row r="1041900" ht="10.5" customHeight="1"/>
    <row r="1041901" ht="10.5" customHeight="1"/>
    <row r="1041902" ht="10.5" customHeight="1"/>
    <row r="1041903" ht="10.5" customHeight="1"/>
    <row r="1041904" ht="10.5" customHeight="1"/>
    <row r="1041905" ht="10.5" customHeight="1"/>
    <row r="1041906" ht="10.5" customHeight="1"/>
    <row r="1041907" ht="10.5" customHeight="1"/>
    <row r="1041908" ht="10.5" customHeight="1"/>
    <row r="1041909" ht="10.5" customHeight="1"/>
    <row r="1041910" ht="10.5" customHeight="1"/>
    <row r="1041911" ht="10.5" customHeight="1"/>
    <row r="1041912" ht="10.5" customHeight="1"/>
    <row r="1041913" ht="10.5" customHeight="1"/>
    <row r="1041914" ht="10.5" customHeight="1"/>
    <row r="1041915" ht="10.5" customHeight="1"/>
    <row r="1041916" ht="10.5" customHeight="1"/>
    <row r="1041917" ht="10.5" customHeight="1"/>
    <row r="1041918" ht="10.5" customHeight="1"/>
    <row r="1041919" ht="10.5" customHeight="1"/>
    <row r="1041920" ht="10.5" customHeight="1"/>
    <row r="1041921" ht="10.5" customHeight="1"/>
    <row r="1041922" ht="10.5" customHeight="1"/>
    <row r="1041923" ht="10.5" customHeight="1"/>
    <row r="1041924" ht="10.5" customHeight="1"/>
    <row r="1041925" ht="10.5" customHeight="1"/>
    <row r="1041926" ht="10.5" customHeight="1"/>
    <row r="1041927" ht="10.5" customHeight="1"/>
    <row r="1041928" ht="10.5" customHeight="1"/>
    <row r="1041929" ht="10.5" customHeight="1"/>
    <row r="1041930" ht="10.5" customHeight="1"/>
    <row r="1041931" ht="10.5" customHeight="1"/>
    <row r="1041932" ht="10.5" customHeight="1"/>
    <row r="1041933" ht="10.5" customHeight="1"/>
    <row r="1041934" ht="10.5" customHeight="1"/>
    <row r="1041935" ht="10.5" customHeight="1"/>
    <row r="1041936" ht="10.5" customHeight="1"/>
    <row r="1041937" ht="10.5" customHeight="1"/>
    <row r="1041938" ht="10.5" customHeight="1"/>
    <row r="1041939" ht="10.5" customHeight="1"/>
    <row r="1041940" ht="10.5" customHeight="1"/>
    <row r="1041941" ht="10.5" customHeight="1"/>
    <row r="1041942" ht="10.5" customHeight="1"/>
    <row r="1041943" ht="10.5" customHeight="1"/>
    <row r="1041944" ht="10.5" customHeight="1"/>
    <row r="1041945" ht="10.5" customHeight="1"/>
    <row r="1041946" ht="10.5" customHeight="1"/>
    <row r="1041947" ht="10.5" customHeight="1"/>
    <row r="1041948" ht="10.5" customHeight="1"/>
    <row r="1041949" ht="10.5" customHeight="1"/>
    <row r="1041950" ht="10.5" customHeight="1"/>
    <row r="1041951" ht="10.5" customHeight="1"/>
    <row r="1041952" ht="10.5" customHeight="1"/>
    <row r="1041953" ht="10.5" customHeight="1"/>
    <row r="1041954" ht="10.5" customHeight="1"/>
    <row r="1041955" ht="10.5" customHeight="1"/>
    <row r="1041956" ht="10.5" customHeight="1"/>
    <row r="1041957" ht="10.5" customHeight="1"/>
    <row r="1041958" ht="10.5" customHeight="1"/>
    <row r="1041959" ht="10.5" customHeight="1"/>
    <row r="1041960" ht="10.5" customHeight="1"/>
    <row r="1041961" ht="10.5" customHeight="1"/>
    <row r="1041962" ht="10.5" customHeight="1"/>
    <row r="1041963" ht="10.5" customHeight="1"/>
    <row r="1041964" ht="10.5" customHeight="1"/>
    <row r="1041965" ht="10.5" customHeight="1"/>
    <row r="1041966" ht="10.5" customHeight="1"/>
    <row r="1041967" ht="10.5" customHeight="1"/>
    <row r="1041968" ht="10.5" customHeight="1"/>
    <row r="1041969" ht="10.5" customHeight="1"/>
    <row r="1041970" ht="10.5" customHeight="1"/>
    <row r="1041971" ht="10.5" customHeight="1"/>
    <row r="1041972" ht="10.5" customHeight="1"/>
    <row r="1041973" ht="10.5" customHeight="1"/>
    <row r="1041974" ht="10.5" customHeight="1"/>
    <row r="1041975" ht="10.5" customHeight="1"/>
    <row r="1041976" ht="10.5" customHeight="1"/>
    <row r="1041977" ht="10.5" customHeight="1"/>
    <row r="1041978" ht="10.5" customHeight="1"/>
    <row r="1041979" ht="10.5" customHeight="1"/>
    <row r="1041980" ht="10.5" customHeight="1"/>
    <row r="1041981" ht="10.5" customHeight="1"/>
    <row r="1041982" ht="10.5" customHeight="1"/>
    <row r="1041983" ht="10.5" customHeight="1"/>
    <row r="1041984" ht="10.5" customHeight="1"/>
    <row r="1041985" ht="10.5" customHeight="1"/>
    <row r="1041986" ht="10.5" customHeight="1"/>
    <row r="1041987" ht="10.5" customHeight="1"/>
    <row r="1041988" ht="10.5" customHeight="1"/>
    <row r="1041989" ht="10.5" customHeight="1"/>
    <row r="1041990" ht="10.5" customHeight="1"/>
    <row r="1041991" ht="10.5" customHeight="1"/>
    <row r="1041992" ht="10.5" customHeight="1"/>
    <row r="1041993" ht="10.5" customHeight="1"/>
    <row r="1041994" ht="10.5" customHeight="1"/>
    <row r="1041995" ht="10.5" customHeight="1"/>
    <row r="1041996" ht="10.5" customHeight="1"/>
    <row r="1041997" ht="10.5" customHeight="1"/>
    <row r="1041998" ht="10.5" customHeight="1"/>
    <row r="1041999" ht="10.5" customHeight="1"/>
    <row r="1042000" ht="10.5" customHeight="1"/>
    <row r="1042001" ht="10.5" customHeight="1"/>
    <row r="1042002" ht="10.5" customHeight="1"/>
    <row r="1042003" ht="10.5" customHeight="1"/>
    <row r="1042004" ht="10.5" customHeight="1"/>
    <row r="1042005" ht="10.5" customHeight="1"/>
    <row r="1042006" ht="10.5" customHeight="1"/>
    <row r="1042007" ht="10.5" customHeight="1"/>
    <row r="1042008" ht="10.5" customHeight="1"/>
    <row r="1042009" ht="10.5" customHeight="1"/>
    <row r="1042010" ht="10.5" customHeight="1"/>
    <row r="1042011" ht="10.5" customHeight="1"/>
    <row r="1042012" ht="10.5" customHeight="1"/>
    <row r="1042013" ht="10.5" customHeight="1"/>
    <row r="1042014" ht="10.5" customHeight="1"/>
    <row r="1042015" ht="10.5" customHeight="1"/>
    <row r="1042016" ht="10.5" customHeight="1"/>
    <row r="1042017" ht="10.5" customHeight="1"/>
    <row r="1042018" ht="10.5" customHeight="1"/>
    <row r="1042019" ht="10.5" customHeight="1"/>
    <row r="1042020" ht="10.5" customHeight="1"/>
    <row r="1042021" ht="10.5" customHeight="1"/>
    <row r="1042022" ht="10.5" customHeight="1"/>
    <row r="1042023" ht="10.5" customHeight="1"/>
    <row r="1042024" ht="10.5" customHeight="1"/>
    <row r="1042025" ht="10.5" customHeight="1"/>
    <row r="1042026" ht="10.5" customHeight="1"/>
    <row r="1042027" ht="10.5" customHeight="1"/>
    <row r="1042028" ht="10.5" customHeight="1"/>
    <row r="1042029" ht="10.5" customHeight="1"/>
    <row r="1042030" ht="10.5" customHeight="1"/>
    <row r="1042031" ht="10.5" customHeight="1"/>
    <row r="1042032" ht="10.5" customHeight="1"/>
    <row r="1042033" ht="10.5" customHeight="1"/>
    <row r="1042034" ht="10.5" customHeight="1"/>
    <row r="1042035" ht="10.5" customHeight="1"/>
    <row r="1042036" ht="10.5" customHeight="1"/>
    <row r="1042037" ht="10.5" customHeight="1"/>
    <row r="1042038" ht="10.5" customHeight="1"/>
    <row r="1042039" ht="10.5" customHeight="1"/>
    <row r="1042040" ht="10.5" customHeight="1"/>
    <row r="1042041" ht="10.5" customHeight="1"/>
    <row r="1042042" ht="10.5" customHeight="1"/>
    <row r="1042043" ht="10.5" customHeight="1"/>
    <row r="1042044" ht="10.5" customHeight="1"/>
    <row r="1042045" ht="10.5" customHeight="1"/>
    <row r="1042046" ht="10.5" customHeight="1"/>
    <row r="1042047" ht="10.5" customHeight="1"/>
    <row r="1042048" ht="10.5" customHeight="1"/>
    <row r="1042049" ht="10.5" customHeight="1"/>
    <row r="1042050" ht="10.5" customHeight="1"/>
    <row r="1042051" ht="10.5" customHeight="1"/>
    <row r="1042052" ht="10.5" customHeight="1"/>
    <row r="1042053" ht="10.5" customHeight="1"/>
    <row r="1042054" ht="10.5" customHeight="1"/>
    <row r="1042055" ht="10.5" customHeight="1"/>
    <row r="1042056" ht="10.5" customHeight="1"/>
    <row r="1042057" ht="10.5" customHeight="1"/>
    <row r="1042058" ht="10.5" customHeight="1"/>
    <row r="1042059" ht="10.5" customHeight="1"/>
    <row r="1042060" ht="10.5" customHeight="1"/>
    <row r="1042061" ht="10.5" customHeight="1"/>
    <row r="1042062" ht="10.5" customHeight="1"/>
    <row r="1042063" ht="10.5" customHeight="1"/>
    <row r="1042064" ht="10.5" customHeight="1"/>
    <row r="1042065" ht="10.5" customHeight="1"/>
    <row r="1042066" ht="10.5" customHeight="1"/>
    <row r="1042067" ht="10.5" customHeight="1"/>
    <row r="1042068" ht="10.5" customHeight="1"/>
    <row r="1042069" ht="10.5" customHeight="1"/>
    <row r="1042070" ht="10.5" customHeight="1"/>
    <row r="1042071" ht="10.5" customHeight="1"/>
    <row r="1042072" ht="10.5" customHeight="1"/>
    <row r="1042073" ht="10.5" customHeight="1"/>
    <row r="1042074" ht="10.5" customHeight="1"/>
    <row r="1042075" ht="10.5" customHeight="1"/>
    <row r="1042076" ht="10.5" customHeight="1"/>
    <row r="1042077" ht="10.5" customHeight="1"/>
    <row r="1042078" ht="10.5" customHeight="1"/>
    <row r="1042079" ht="10.5" customHeight="1"/>
    <row r="1042080" ht="10.5" customHeight="1"/>
    <row r="1042081" ht="10.5" customHeight="1"/>
    <row r="1042082" ht="10.5" customHeight="1"/>
    <row r="1042083" ht="10.5" customHeight="1"/>
    <row r="1042084" ht="10.5" customHeight="1"/>
    <row r="1042085" ht="10.5" customHeight="1"/>
    <row r="1042086" ht="10.5" customHeight="1"/>
    <row r="1042087" ht="10.5" customHeight="1"/>
    <row r="1042088" ht="10.5" customHeight="1"/>
    <row r="1042089" ht="10.5" customHeight="1"/>
    <row r="1042090" ht="10.5" customHeight="1"/>
    <row r="1042091" ht="10.5" customHeight="1"/>
    <row r="1042092" ht="10.5" customHeight="1"/>
    <row r="1042093" ht="10.5" customHeight="1"/>
    <row r="1042094" ht="10.5" customHeight="1"/>
    <row r="1042095" ht="10.5" customHeight="1"/>
    <row r="1042096" ht="10.5" customHeight="1"/>
    <row r="1042097" ht="10.5" customHeight="1"/>
    <row r="1042098" ht="10.5" customHeight="1"/>
    <row r="1042099" ht="10.5" customHeight="1"/>
    <row r="1042100" ht="10.5" customHeight="1"/>
    <row r="1042101" ht="10.5" customHeight="1"/>
    <row r="1042102" ht="10.5" customHeight="1"/>
    <row r="1042103" ht="10.5" customHeight="1"/>
    <row r="1042104" ht="10.5" customHeight="1"/>
    <row r="1042105" ht="10.5" customHeight="1"/>
    <row r="1042106" ht="10.5" customHeight="1"/>
    <row r="1042107" ht="10.5" customHeight="1"/>
    <row r="1042108" ht="10.5" customHeight="1"/>
    <row r="1042109" ht="10.5" customHeight="1"/>
    <row r="1042110" ht="10.5" customHeight="1"/>
    <row r="1042111" ht="10.5" customHeight="1"/>
    <row r="1042112" ht="10.5" customHeight="1"/>
    <row r="1042113" ht="10.5" customHeight="1"/>
    <row r="1042114" ht="10.5" customHeight="1"/>
    <row r="1042115" ht="10.5" customHeight="1"/>
    <row r="1042116" ht="10.5" customHeight="1"/>
    <row r="1042117" ht="10.5" customHeight="1"/>
    <row r="1042118" ht="10.5" customHeight="1"/>
    <row r="1042119" ht="10.5" customHeight="1"/>
    <row r="1042120" ht="10.5" customHeight="1"/>
    <row r="1042121" ht="10.5" customHeight="1"/>
    <row r="1042122" ht="10.5" customHeight="1"/>
    <row r="1042123" ht="10.5" customHeight="1"/>
    <row r="1042124" ht="10.5" customHeight="1"/>
    <row r="1042125" ht="10.5" customHeight="1"/>
    <row r="1042126" ht="10.5" customHeight="1"/>
    <row r="1042127" ht="10.5" customHeight="1"/>
    <row r="1042128" ht="10.5" customHeight="1"/>
    <row r="1042129" ht="10.5" customHeight="1"/>
    <row r="1042130" ht="10.5" customHeight="1"/>
    <row r="1042131" ht="10.5" customHeight="1"/>
    <row r="1042132" ht="10.5" customHeight="1"/>
    <row r="1042133" ht="10.5" customHeight="1"/>
    <row r="1042134" ht="10.5" customHeight="1"/>
    <row r="1042135" ht="10.5" customHeight="1"/>
    <row r="1042136" ht="10.5" customHeight="1"/>
    <row r="1042137" ht="10.5" customHeight="1"/>
    <row r="1042138" ht="10.5" customHeight="1"/>
    <row r="1042139" ht="10.5" customHeight="1"/>
    <row r="1042140" ht="10.5" customHeight="1"/>
    <row r="1042141" ht="10.5" customHeight="1"/>
    <row r="1042142" ht="10.5" customHeight="1"/>
    <row r="1042143" ht="10.5" customHeight="1"/>
    <row r="1042144" ht="10.5" customHeight="1"/>
    <row r="1042145" ht="10.5" customHeight="1"/>
    <row r="1042146" ht="10.5" customHeight="1"/>
    <row r="1042147" ht="10.5" customHeight="1"/>
    <row r="1042148" ht="10.5" customHeight="1"/>
    <row r="1042149" ht="10.5" customHeight="1"/>
    <row r="1042150" ht="10.5" customHeight="1"/>
    <row r="1042151" ht="10.5" customHeight="1"/>
    <row r="1042152" ht="10.5" customHeight="1"/>
    <row r="1042153" ht="10.5" customHeight="1"/>
    <row r="1042154" ht="10.5" customHeight="1"/>
    <row r="1042155" ht="10.5" customHeight="1"/>
    <row r="1042156" ht="10.5" customHeight="1"/>
    <row r="1042157" ht="10.5" customHeight="1"/>
    <row r="1042158" ht="10.5" customHeight="1"/>
    <row r="1042159" ht="10.5" customHeight="1"/>
    <row r="1042160" ht="10.5" customHeight="1"/>
    <row r="1042161" ht="10.5" customHeight="1"/>
    <row r="1042162" ht="10.5" customHeight="1"/>
    <row r="1042163" ht="10.5" customHeight="1"/>
    <row r="1042164" ht="10.5" customHeight="1"/>
    <row r="1042165" ht="10.5" customHeight="1"/>
    <row r="1042166" ht="10.5" customHeight="1"/>
    <row r="1042167" ht="10.5" customHeight="1"/>
    <row r="1042168" ht="10.5" customHeight="1"/>
    <row r="1042169" ht="10.5" customHeight="1"/>
    <row r="1042170" ht="10.5" customHeight="1"/>
    <row r="1042171" ht="10.5" customHeight="1"/>
    <row r="1042172" ht="10.5" customHeight="1"/>
    <row r="1042173" ht="10.5" customHeight="1"/>
    <row r="1042174" ht="10.5" customHeight="1"/>
    <row r="1042175" ht="10.5" customHeight="1"/>
    <row r="1042176" ht="10.5" customHeight="1"/>
    <row r="1042177" ht="10.5" customHeight="1"/>
    <row r="1042178" ht="10.5" customHeight="1"/>
    <row r="1042179" ht="10.5" customHeight="1"/>
    <row r="1042180" ht="10.5" customHeight="1"/>
    <row r="1042181" ht="10.5" customHeight="1"/>
    <row r="1042182" ht="10.5" customHeight="1"/>
    <row r="1042183" ht="10.5" customHeight="1"/>
    <row r="1042184" ht="10.5" customHeight="1"/>
    <row r="1042185" ht="10.5" customHeight="1"/>
    <row r="1042186" ht="10.5" customHeight="1"/>
    <row r="1042187" ht="10.5" customHeight="1"/>
    <row r="1042188" ht="10.5" customHeight="1"/>
    <row r="1042189" ht="10.5" customHeight="1"/>
    <row r="1042190" ht="10.5" customHeight="1"/>
    <row r="1042191" ht="10.5" customHeight="1"/>
    <row r="1042192" ht="10.5" customHeight="1"/>
    <row r="1042193" ht="10.5" customHeight="1"/>
    <row r="1042194" ht="10.5" customHeight="1"/>
    <row r="1042195" ht="10.5" customHeight="1"/>
    <row r="1042196" ht="10.5" customHeight="1"/>
    <row r="1042197" ht="10.5" customHeight="1"/>
    <row r="1042198" ht="10.5" customHeight="1"/>
    <row r="1042199" ht="10.5" customHeight="1"/>
    <row r="1042200" ht="10.5" customHeight="1"/>
    <row r="1042201" ht="10.5" customHeight="1"/>
    <row r="1042202" ht="10.5" customHeight="1"/>
    <row r="1042203" ht="10.5" customHeight="1"/>
    <row r="1042204" ht="10.5" customHeight="1"/>
    <row r="1042205" ht="10.5" customHeight="1"/>
    <row r="1042206" ht="10.5" customHeight="1"/>
    <row r="1042207" ht="10.5" customHeight="1"/>
    <row r="1042208" ht="10.5" customHeight="1"/>
    <row r="1042209" ht="10.5" customHeight="1"/>
    <row r="1042210" ht="10.5" customHeight="1"/>
    <row r="1042211" ht="10.5" customHeight="1"/>
    <row r="1042212" ht="10.5" customHeight="1"/>
    <row r="1042213" ht="10.5" customHeight="1"/>
    <row r="1042214" ht="10.5" customHeight="1"/>
    <row r="1042215" ht="10.5" customHeight="1"/>
    <row r="1042216" ht="10.5" customHeight="1"/>
    <row r="1042217" ht="10.5" customHeight="1"/>
    <row r="1042218" ht="10.5" customHeight="1"/>
    <row r="1042219" ht="10.5" customHeight="1"/>
    <row r="1042220" ht="10.5" customHeight="1"/>
    <row r="1042221" ht="10.5" customHeight="1"/>
    <row r="1042222" ht="10.5" customHeight="1"/>
    <row r="1042223" ht="10.5" customHeight="1"/>
    <row r="1042224" ht="10.5" customHeight="1"/>
    <row r="1042225" ht="10.5" customHeight="1"/>
    <row r="1042226" ht="10.5" customHeight="1"/>
    <row r="1042227" ht="10.5" customHeight="1"/>
    <row r="1042228" ht="10.5" customHeight="1"/>
    <row r="1042229" ht="10.5" customHeight="1"/>
    <row r="1042230" ht="10.5" customHeight="1"/>
    <row r="1042231" ht="10.5" customHeight="1"/>
    <row r="1042232" ht="10.5" customHeight="1"/>
    <row r="1042233" ht="10.5" customHeight="1"/>
    <row r="1042234" ht="10.5" customHeight="1"/>
    <row r="1042235" ht="10.5" customHeight="1"/>
    <row r="1042236" ht="10.5" customHeight="1"/>
    <row r="1042237" ht="10.5" customHeight="1"/>
    <row r="1042238" ht="10.5" customHeight="1"/>
    <row r="1042239" ht="10.5" customHeight="1"/>
    <row r="1042240" ht="10.5" customHeight="1"/>
    <row r="1042241" ht="10.5" customHeight="1"/>
    <row r="1042242" ht="10.5" customHeight="1"/>
    <row r="1042243" ht="10.5" customHeight="1"/>
    <row r="1042244" ht="10.5" customHeight="1"/>
    <row r="1042245" ht="10.5" customHeight="1"/>
    <row r="1042246" ht="10.5" customHeight="1"/>
    <row r="1042247" ht="10.5" customHeight="1"/>
    <row r="1042248" ht="10.5" customHeight="1"/>
    <row r="1042249" ht="10.5" customHeight="1"/>
    <row r="1042250" ht="10.5" customHeight="1"/>
    <row r="1042251" ht="10.5" customHeight="1"/>
    <row r="1042252" ht="10.5" customHeight="1"/>
    <row r="1042253" ht="10.5" customHeight="1"/>
    <row r="1042254" ht="10.5" customHeight="1"/>
    <row r="1042255" ht="10.5" customHeight="1"/>
    <row r="1042256" ht="10.5" customHeight="1"/>
    <row r="1042257" ht="10.5" customHeight="1"/>
    <row r="1042258" ht="10.5" customHeight="1"/>
    <row r="1042259" ht="10.5" customHeight="1"/>
    <row r="1042260" ht="10.5" customHeight="1"/>
    <row r="1042261" ht="10.5" customHeight="1"/>
    <row r="1042262" ht="10.5" customHeight="1"/>
    <row r="1042263" ht="10.5" customHeight="1"/>
    <row r="1042264" ht="10.5" customHeight="1"/>
    <row r="1042265" ht="10.5" customHeight="1"/>
    <row r="1042266" ht="10.5" customHeight="1"/>
    <row r="1042267" ht="10.5" customHeight="1"/>
    <row r="1042268" ht="10.5" customHeight="1"/>
    <row r="1042269" ht="10.5" customHeight="1"/>
    <row r="1042270" ht="10.5" customHeight="1"/>
    <row r="1042271" ht="10.5" customHeight="1"/>
    <row r="1042272" ht="10.5" customHeight="1"/>
    <row r="1042273" ht="10.5" customHeight="1"/>
    <row r="1042274" ht="10.5" customHeight="1"/>
    <row r="1042275" ht="10.5" customHeight="1"/>
    <row r="1042276" ht="10.5" customHeight="1"/>
    <row r="1042277" ht="10.5" customHeight="1"/>
    <row r="1042278" ht="10.5" customHeight="1"/>
    <row r="1042279" ht="10.5" customHeight="1"/>
    <row r="1042280" ht="10.5" customHeight="1"/>
    <row r="1042281" ht="10.5" customHeight="1"/>
    <row r="1042282" ht="10.5" customHeight="1"/>
    <row r="1042283" ht="10.5" customHeight="1"/>
    <row r="1042284" ht="10.5" customHeight="1"/>
    <row r="1042285" ht="10.5" customHeight="1"/>
    <row r="1042286" ht="10.5" customHeight="1"/>
    <row r="1042287" ht="10.5" customHeight="1"/>
    <row r="1042288" ht="10.5" customHeight="1"/>
    <row r="1042289" ht="10.5" customHeight="1"/>
    <row r="1042290" ht="10.5" customHeight="1"/>
    <row r="1042291" ht="10.5" customHeight="1"/>
    <row r="1042292" ht="10.5" customHeight="1"/>
    <row r="1042293" ht="10.5" customHeight="1"/>
    <row r="1042294" ht="10.5" customHeight="1"/>
    <row r="1042295" ht="10.5" customHeight="1"/>
    <row r="1042296" ht="10.5" customHeight="1"/>
    <row r="1042297" ht="10.5" customHeight="1"/>
    <row r="1042298" ht="10.5" customHeight="1"/>
    <row r="1042299" ht="10.5" customHeight="1"/>
    <row r="1042300" ht="10.5" customHeight="1"/>
    <row r="1042301" ht="10.5" customHeight="1"/>
    <row r="1042302" ht="10.5" customHeight="1"/>
    <row r="1042303" ht="10.5" customHeight="1"/>
    <row r="1042304" ht="10.5" customHeight="1"/>
    <row r="1042305" ht="10.5" customHeight="1"/>
    <row r="1042306" ht="10.5" customHeight="1"/>
    <row r="1042307" ht="10.5" customHeight="1"/>
    <row r="1042308" ht="10.5" customHeight="1"/>
    <row r="1042309" ht="10.5" customHeight="1"/>
    <row r="1042310" ht="10.5" customHeight="1"/>
    <row r="1042311" ht="10.5" customHeight="1"/>
    <row r="1042312" ht="10.5" customHeight="1"/>
    <row r="1042313" ht="10.5" customHeight="1"/>
    <row r="1042314" ht="10.5" customHeight="1"/>
    <row r="1042315" ht="10.5" customHeight="1"/>
    <row r="1042316" ht="10.5" customHeight="1"/>
    <row r="1042317" ht="10.5" customHeight="1"/>
    <row r="1042318" ht="10.5" customHeight="1"/>
    <row r="1042319" ht="10.5" customHeight="1"/>
    <row r="1042320" ht="10.5" customHeight="1"/>
    <row r="1042321" ht="10.5" customHeight="1"/>
    <row r="1042322" ht="10.5" customHeight="1"/>
    <row r="1042323" ht="10.5" customHeight="1"/>
    <row r="1042324" ht="10.5" customHeight="1"/>
    <row r="1042325" ht="10.5" customHeight="1"/>
    <row r="1042326" ht="10.5" customHeight="1"/>
    <row r="1042327" ht="10.5" customHeight="1"/>
    <row r="1042328" ht="10.5" customHeight="1"/>
    <row r="1042329" ht="10.5" customHeight="1"/>
    <row r="1042330" ht="10.5" customHeight="1"/>
    <row r="1042331" ht="10.5" customHeight="1"/>
    <row r="1042332" ht="10.5" customHeight="1"/>
    <row r="1042333" ht="10.5" customHeight="1"/>
    <row r="1042334" ht="10.5" customHeight="1"/>
    <row r="1042335" ht="10.5" customHeight="1"/>
    <row r="1042336" ht="10.5" customHeight="1"/>
    <row r="1042337" ht="10.5" customHeight="1"/>
    <row r="1042338" ht="10.5" customHeight="1"/>
    <row r="1042339" ht="10.5" customHeight="1"/>
    <row r="1042340" ht="10.5" customHeight="1"/>
    <row r="1042341" ht="10.5" customHeight="1"/>
    <row r="1042342" ht="10.5" customHeight="1"/>
    <row r="1042343" ht="10.5" customHeight="1"/>
    <row r="1042344" ht="10.5" customHeight="1"/>
    <row r="1042345" ht="10.5" customHeight="1"/>
    <row r="1042346" ht="10.5" customHeight="1"/>
    <row r="1042347" ht="10.5" customHeight="1"/>
    <row r="1042348" ht="10.5" customHeight="1"/>
    <row r="1042349" ht="10.5" customHeight="1"/>
    <row r="1042350" ht="10.5" customHeight="1"/>
    <row r="1042351" ht="10.5" customHeight="1"/>
    <row r="1042352" ht="10.5" customHeight="1"/>
    <row r="1042353" ht="10.5" customHeight="1"/>
    <row r="1042354" ht="10.5" customHeight="1"/>
    <row r="1042355" ht="10.5" customHeight="1"/>
    <row r="1042356" ht="10.5" customHeight="1"/>
    <row r="1042357" ht="10.5" customHeight="1"/>
    <row r="1042358" ht="10.5" customHeight="1"/>
    <row r="1042359" ht="10.5" customHeight="1"/>
    <row r="1042360" ht="10.5" customHeight="1"/>
    <row r="1042361" ht="10.5" customHeight="1"/>
    <row r="1042362" ht="10.5" customHeight="1"/>
    <row r="1042363" ht="10.5" customHeight="1"/>
    <row r="1042364" ht="10.5" customHeight="1"/>
    <row r="1042365" ht="10.5" customHeight="1"/>
    <row r="1042366" ht="10.5" customHeight="1"/>
    <row r="1042367" ht="10.5" customHeight="1"/>
    <row r="1042368" ht="10.5" customHeight="1"/>
    <row r="1042369" ht="10.5" customHeight="1"/>
    <row r="1042370" ht="10.5" customHeight="1"/>
    <row r="1042371" ht="10.5" customHeight="1"/>
    <row r="1042372" ht="10.5" customHeight="1"/>
    <row r="1042373" ht="10.5" customHeight="1"/>
    <row r="1042374" ht="10.5" customHeight="1"/>
    <row r="1042375" ht="10.5" customHeight="1"/>
    <row r="1042376" ht="10.5" customHeight="1"/>
    <row r="1042377" ht="10.5" customHeight="1"/>
    <row r="1042378" ht="10.5" customHeight="1"/>
    <row r="1042379" ht="10.5" customHeight="1"/>
    <row r="1042380" ht="10.5" customHeight="1"/>
    <row r="1042381" ht="10.5" customHeight="1"/>
    <row r="1042382" ht="10.5" customHeight="1"/>
    <row r="1042383" ht="10.5" customHeight="1"/>
    <row r="1042384" ht="10.5" customHeight="1"/>
    <row r="1042385" ht="10.5" customHeight="1"/>
    <row r="1042386" ht="10.5" customHeight="1"/>
    <row r="1042387" ht="10.5" customHeight="1"/>
    <row r="1042388" ht="10.5" customHeight="1"/>
    <row r="1042389" ht="10.5" customHeight="1"/>
    <row r="1042390" ht="10.5" customHeight="1"/>
    <row r="1042391" ht="10.5" customHeight="1"/>
    <row r="1042392" ht="10.5" customHeight="1"/>
    <row r="1042393" ht="10.5" customHeight="1"/>
    <row r="1042394" ht="10.5" customHeight="1"/>
    <row r="1042395" ht="10.5" customHeight="1"/>
    <row r="1042396" ht="10.5" customHeight="1"/>
    <row r="1042397" ht="10.5" customHeight="1"/>
    <row r="1042398" ht="10.5" customHeight="1"/>
    <row r="1042399" ht="10.5" customHeight="1"/>
    <row r="1042400" ht="10.5" customHeight="1"/>
    <row r="1042401" ht="10.5" customHeight="1"/>
    <row r="1042402" ht="10.5" customHeight="1"/>
    <row r="1042403" ht="10.5" customHeight="1"/>
    <row r="1042404" ht="10.5" customHeight="1"/>
    <row r="1042405" ht="10.5" customHeight="1"/>
    <row r="1042406" ht="10.5" customHeight="1"/>
    <row r="1042407" ht="10.5" customHeight="1"/>
    <row r="1042408" ht="10.5" customHeight="1"/>
    <row r="1042409" ht="10.5" customHeight="1"/>
    <row r="1042410" ht="10.5" customHeight="1"/>
    <row r="1042411" ht="10.5" customHeight="1"/>
    <row r="1042412" ht="10.5" customHeight="1"/>
    <row r="1042413" ht="10.5" customHeight="1"/>
    <row r="1042414" ht="10.5" customHeight="1"/>
    <row r="1042415" ht="10.5" customHeight="1"/>
    <row r="1042416" ht="10.5" customHeight="1"/>
    <row r="1042417" ht="10.5" customHeight="1"/>
    <row r="1042418" ht="10.5" customHeight="1"/>
    <row r="1042419" ht="10.5" customHeight="1"/>
    <row r="1042420" ht="10.5" customHeight="1"/>
    <row r="1042421" ht="10.5" customHeight="1"/>
    <row r="1042422" ht="10.5" customHeight="1"/>
    <row r="1042423" ht="10.5" customHeight="1"/>
    <row r="1042424" ht="10.5" customHeight="1"/>
    <row r="1042425" ht="10.5" customHeight="1"/>
    <row r="1042426" ht="10.5" customHeight="1"/>
    <row r="1042427" ht="10.5" customHeight="1"/>
    <row r="1042428" ht="10.5" customHeight="1"/>
    <row r="1042429" ht="10.5" customHeight="1"/>
    <row r="1042430" ht="10.5" customHeight="1"/>
    <row r="1042431" ht="10.5" customHeight="1"/>
    <row r="1042432" ht="10.5" customHeight="1"/>
    <row r="1042433" ht="10.5" customHeight="1"/>
    <row r="1042434" ht="10.5" customHeight="1"/>
    <row r="1042435" ht="10.5" customHeight="1"/>
    <row r="1042436" ht="10.5" customHeight="1"/>
    <row r="1042437" ht="10.5" customHeight="1"/>
    <row r="1042438" ht="10.5" customHeight="1"/>
    <row r="1042439" ht="10.5" customHeight="1"/>
    <row r="1042440" ht="10.5" customHeight="1"/>
    <row r="1042441" ht="10.5" customHeight="1"/>
    <row r="1042442" ht="10.5" customHeight="1"/>
    <row r="1042443" ht="10.5" customHeight="1"/>
    <row r="1042444" ht="10.5" customHeight="1"/>
    <row r="1042445" ht="10.5" customHeight="1"/>
    <row r="1042446" ht="10.5" customHeight="1"/>
    <row r="1042447" ht="10.5" customHeight="1"/>
    <row r="1042448" ht="10.5" customHeight="1"/>
    <row r="1042449" ht="10.5" customHeight="1"/>
    <row r="1042450" ht="10.5" customHeight="1"/>
    <row r="1042451" ht="10.5" customHeight="1"/>
    <row r="1042452" ht="10.5" customHeight="1"/>
    <row r="1042453" ht="10.5" customHeight="1"/>
    <row r="1042454" ht="10.5" customHeight="1"/>
    <row r="1042455" ht="10.5" customHeight="1"/>
    <row r="1042456" ht="10.5" customHeight="1"/>
    <row r="1042457" ht="10.5" customHeight="1"/>
    <row r="1042458" ht="10.5" customHeight="1"/>
    <row r="1042459" ht="10.5" customHeight="1"/>
    <row r="1042460" ht="10.5" customHeight="1"/>
    <row r="1042461" ht="10.5" customHeight="1"/>
    <row r="1042462" ht="10.5" customHeight="1"/>
    <row r="1042463" ht="10.5" customHeight="1"/>
    <row r="1042464" ht="10.5" customHeight="1"/>
    <row r="1042465" ht="10.5" customHeight="1"/>
    <row r="1042466" ht="10.5" customHeight="1"/>
    <row r="1042467" ht="10.5" customHeight="1"/>
    <row r="1042468" ht="10.5" customHeight="1"/>
    <row r="1042469" ht="10.5" customHeight="1"/>
    <row r="1042470" ht="10.5" customHeight="1"/>
    <row r="1042471" ht="10.5" customHeight="1"/>
    <row r="1042472" ht="10.5" customHeight="1"/>
    <row r="1042473" ht="10.5" customHeight="1"/>
    <row r="1042474" ht="10.5" customHeight="1"/>
    <row r="1042475" ht="10.5" customHeight="1"/>
    <row r="1042476" ht="10.5" customHeight="1"/>
    <row r="1042477" ht="10.5" customHeight="1"/>
    <row r="1042478" ht="10.5" customHeight="1"/>
    <row r="1042479" ht="10.5" customHeight="1"/>
    <row r="1042480" ht="10.5" customHeight="1"/>
    <row r="1042481" ht="10.5" customHeight="1"/>
    <row r="1042482" ht="10.5" customHeight="1"/>
    <row r="1042483" ht="10.5" customHeight="1"/>
    <row r="1042484" ht="10.5" customHeight="1"/>
    <row r="1042485" ht="10.5" customHeight="1"/>
    <row r="1042486" ht="10.5" customHeight="1"/>
    <row r="1042487" ht="10.5" customHeight="1"/>
    <row r="1042488" ht="10.5" customHeight="1"/>
    <row r="1042489" ht="10.5" customHeight="1"/>
    <row r="1042490" ht="10.5" customHeight="1"/>
    <row r="1042491" ht="10.5" customHeight="1"/>
    <row r="1042492" ht="10.5" customHeight="1"/>
    <row r="1042493" ht="10.5" customHeight="1"/>
    <row r="1042494" ht="10.5" customHeight="1"/>
    <row r="1042495" ht="10.5" customHeight="1"/>
    <row r="1042496" ht="10.5" customHeight="1"/>
    <row r="1042497" ht="10.5" customHeight="1"/>
    <row r="1042498" ht="10.5" customHeight="1"/>
    <row r="1042499" ht="10.5" customHeight="1"/>
    <row r="1042500" ht="10.5" customHeight="1"/>
    <row r="1042501" ht="10.5" customHeight="1"/>
    <row r="1042502" ht="10.5" customHeight="1"/>
    <row r="1042503" ht="10.5" customHeight="1"/>
    <row r="1042504" ht="10.5" customHeight="1"/>
    <row r="1042505" ht="10.5" customHeight="1"/>
    <row r="1042506" ht="10.5" customHeight="1"/>
    <row r="1042507" ht="10.5" customHeight="1"/>
    <row r="1042508" ht="10.5" customHeight="1"/>
    <row r="1042509" ht="10.5" customHeight="1"/>
    <row r="1042510" ht="10.5" customHeight="1"/>
    <row r="1042511" ht="10.5" customHeight="1"/>
    <row r="1042512" ht="10.5" customHeight="1"/>
    <row r="1042513" ht="10.5" customHeight="1"/>
    <row r="1042514" ht="10.5" customHeight="1"/>
    <row r="1042515" ht="10.5" customHeight="1"/>
    <row r="1042516" ht="10.5" customHeight="1"/>
    <row r="1042517" ht="10.5" customHeight="1"/>
    <row r="1042518" ht="10.5" customHeight="1"/>
    <row r="1042519" ht="10.5" customHeight="1"/>
    <row r="1042520" ht="10.5" customHeight="1"/>
    <row r="1042521" ht="10.5" customHeight="1"/>
    <row r="1042522" ht="10.5" customHeight="1"/>
    <row r="1042523" ht="10.5" customHeight="1"/>
    <row r="1042524" ht="10.5" customHeight="1"/>
    <row r="1042525" ht="10.5" customHeight="1"/>
    <row r="1042526" ht="10.5" customHeight="1"/>
    <row r="1042527" ht="10.5" customHeight="1"/>
    <row r="1042528" ht="10.5" customHeight="1"/>
    <row r="1042529" ht="10.5" customHeight="1"/>
    <row r="1042530" ht="10.5" customHeight="1"/>
    <row r="1042531" ht="10.5" customHeight="1"/>
    <row r="1042532" ht="10.5" customHeight="1"/>
    <row r="1042533" ht="10.5" customHeight="1"/>
    <row r="1042534" ht="10.5" customHeight="1"/>
    <row r="1042535" ht="10.5" customHeight="1"/>
    <row r="1042536" ht="10.5" customHeight="1"/>
    <row r="1042537" ht="10.5" customHeight="1"/>
    <row r="1042538" ht="10.5" customHeight="1"/>
    <row r="1042539" ht="10.5" customHeight="1"/>
    <row r="1042540" ht="10.5" customHeight="1"/>
    <row r="1042541" ht="10.5" customHeight="1"/>
    <row r="1042542" ht="10.5" customHeight="1"/>
    <row r="1042543" ht="10.5" customHeight="1"/>
    <row r="1042544" ht="10.5" customHeight="1"/>
    <row r="1042545" ht="10.5" customHeight="1"/>
    <row r="1042546" ht="10.5" customHeight="1"/>
    <row r="1042547" ht="10.5" customHeight="1"/>
    <row r="1042548" ht="10.5" customHeight="1"/>
    <row r="1042549" ht="10.5" customHeight="1"/>
    <row r="1042550" ht="10.5" customHeight="1"/>
    <row r="1042551" ht="10.5" customHeight="1"/>
    <row r="1042552" ht="10.5" customHeight="1"/>
    <row r="1042553" ht="10.5" customHeight="1"/>
    <row r="1042554" ht="10.5" customHeight="1"/>
    <row r="1042555" ht="10.5" customHeight="1"/>
    <row r="1042556" ht="10.5" customHeight="1"/>
    <row r="1042557" ht="10.5" customHeight="1"/>
    <row r="1042558" ht="10.5" customHeight="1"/>
    <row r="1042559" ht="10.5" customHeight="1"/>
    <row r="1042560" ht="10.5" customHeight="1"/>
    <row r="1042561" ht="10.5" customHeight="1"/>
    <row r="1042562" ht="10.5" customHeight="1"/>
    <row r="1042563" ht="10.5" customHeight="1"/>
    <row r="1042564" ht="10.5" customHeight="1"/>
    <row r="1042565" ht="10.5" customHeight="1"/>
    <row r="1042566" ht="10.5" customHeight="1"/>
    <row r="1042567" ht="10.5" customHeight="1"/>
    <row r="1042568" ht="10.5" customHeight="1"/>
    <row r="1042569" ht="10.5" customHeight="1"/>
    <row r="1042570" ht="10.5" customHeight="1"/>
    <row r="1042571" ht="10.5" customHeight="1"/>
    <row r="1042572" ht="10.5" customHeight="1"/>
    <row r="1042573" ht="10.5" customHeight="1"/>
    <row r="1042574" ht="10.5" customHeight="1"/>
    <row r="1042575" ht="10.5" customHeight="1"/>
    <row r="1042576" ht="10.5" customHeight="1"/>
    <row r="1042577" ht="10.5" customHeight="1"/>
    <row r="1042578" ht="10.5" customHeight="1"/>
    <row r="1042579" ht="10.5" customHeight="1"/>
    <row r="1042580" ht="10.5" customHeight="1"/>
    <row r="1042581" ht="10.5" customHeight="1"/>
    <row r="1042582" ht="10.5" customHeight="1"/>
    <row r="1042583" ht="10.5" customHeight="1"/>
    <row r="1042584" ht="10.5" customHeight="1"/>
    <row r="1042585" ht="10.5" customHeight="1"/>
    <row r="1042586" ht="10.5" customHeight="1"/>
    <row r="1042587" ht="10.5" customHeight="1"/>
    <row r="1042588" ht="10.5" customHeight="1"/>
    <row r="1042589" ht="10.5" customHeight="1"/>
    <row r="1042590" ht="10.5" customHeight="1"/>
    <row r="1042591" ht="10.5" customHeight="1"/>
    <row r="1042592" ht="10.5" customHeight="1"/>
    <row r="1042593" ht="10.5" customHeight="1"/>
    <row r="1042594" ht="10.5" customHeight="1"/>
    <row r="1042595" ht="10.5" customHeight="1"/>
    <row r="1042596" ht="10.5" customHeight="1"/>
    <row r="1042597" ht="10.5" customHeight="1"/>
    <row r="1042598" ht="10.5" customHeight="1"/>
    <row r="1042599" ht="10.5" customHeight="1"/>
    <row r="1042600" ht="10.5" customHeight="1"/>
    <row r="1042601" ht="10.5" customHeight="1"/>
    <row r="1042602" ht="10.5" customHeight="1"/>
    <row r="1042603" ht="10.5" customHeight="1"/>
    <row r="1042604" ht="10.5" customHeight="1"/>
    <row r="1042605" ht="10.5" customHeight="1"/>
    <row r="1042606" ht="10.5" customHeight="1"/>
    <row r="1042607" ht="10.5" customHeight="1"/>
    <row r="1042608" ht="10.5" customHeight="1"/>
    <row r="1042609" ht="10.5" customHeight="1"/>
    <row r="1042610" ht="10.5" customHeight="1"/>
    <row r="1042611" ht="10.5" customHeight="1"/>
    <row r="1042612" ht="10.5" customHeight="1"/>
    <row r="1042613" ht="10.5" customHeight="1"/>
    <row r="1042614" ht="10.5" customHeight="1"/>
    <row r="1042615" ht="10.5" customHeight="1"/>
    <row r="1042616" ht="10.5" customHeight="1"/>
    <row r="1042617" ht="10.5" customHeight="1"/>
    <row r="1042618" ht="10.5" customHeight="1"/>
    <row r="1042619" ht="10.5" customHeight="1"/>
    <row r="1042620" ht="10.5" customHeight="1"/>
    <row r="1042621" ht="10.5" customHeight="1"/>
    <row r="1042622" ht="10.5" customHeight="1"/>
    <row r="1042623" ht="10.5" customHeight="1"/>
    <row r="1042624" ht="10.5" customHeight="1"/>
    <row r="1042625" ht="10.5" customHeight="1"/>
    <row r="1042626" ht="10.5" customHeight="1"/>
    <row r="1042627" ht="10.5" customHeight="1"/>
    <row r="1042628" ht="10.5" customHeight="1"/>
    <row r="1042629" ht="10.5" customHeight="1"/>
    <row r="1042630" ht="10.5" customHeight="1"/>
    <row r="1042631" ht="10.5" customHeight="1"/>
    <row r="1042632" ht="10.5" customHeight="1"/>
    <row r="1042633" ht="10.5" customHeight="1"/>
    <row r="1042634" ht="10.5" customHeight="1"/>
    <row r="1042635" ht="10.5" customHeight="1"/>
    <row r="1042636" ht="10.5" customHeight="1"/>
    <row r="1042637" ht="10.5" customHeight="1"/>
    <row r="1042638" ht="10.5" customHeight="1"/>
    <row r="1042639" ht="10.5" customHeight="1"/>
    <row r="1042640" ht="10.5" customHeight="1"/>
    <row r="1042641" ht="10.5" customHeight="1"/>
    <row r="1042642" ht="10.5" customHeight="1"/>
    <row r="1042643" ht="10.5" customHeight="1"/>
    <row r="1042644" ht="10.5" customHeight="1"/>
    <row r="1042645" ht="10.5" customHeight="1"/>
    <row r="1042646" ht="10.5" customHeight="1"/>
    <row r="1042647" ht="10.5" customHeight="1"/>
    <row r="1042648" ht="10.5" customHeight="1"/>
    <row r="1042649" ht="10.5" customHeight="1"/>
    <row r="1042650" ht="10.5" customHeight="1"/>
    <row r="1042651" ht="10.5" customHeight="1"/>
    <row r="1042652" ht="10.5" customHeight="1"/>
    <row r="1042653" ht="10.5" customHeight="1"/>
    <row r="1042654" ht="10.5" customHeight="1"/>
    <row r="1042655" ht="10.5" customHeight="1"/>
    <row r="1042656" ht="10.5" customHeight="1"/>
    <row r="1042657" ht="10.5" customHeight="1"/>
    <row r="1042658" ht="10.5" customHeight="1"/>
    <row r="1042659" ht="10.5" customHeight="1"/>
    <row r="1042660" ht="10.5" customHeight="1"/>
    <row r="1042661" ht="10.5" customHeight="1"/>
    <row r="1042662" ht="10.5" customHeight="1"/>
    <row r="1042663" ht="10.5" customHeight="1"/>
    <row r="1042664" ht="10.5" customHeight="1"/>
    <row r="1042665" ht="10.5" customHeight="1"/>
    <row r="1042666" ht="10.5" customHeight="1"/>
    <row r="1042667" ht="10.5" customHeight="1"/>
    <row r="1042668" ht="10.5" customHeight="1"/>
    <row r="1042669" ht="10.5" customHeight="1"/>
    <row r="1042670" ht="10.5" customHeight="1"/>
    <row r="1042671" ht="10.5" customHeight="1"/>
    <row r="1042672" ht="10.5" customHeight="1"/>
    <row r="1042673" ht="10.5" customHeight="1"/>
    <row r="1042674" ht="10.5" customHeight="1"/>
    <row r="1042675" ht="10.5" customHeight="1"/>
    <row r="1042676" ht="10.5" customHeight="1"/>
    <row r="1042677" ht="10.5" customHeight="1"/>
    <row r="1042678" ht="10.5" customHeight="1"/>
    <row r="1042679" ht="10.5" customHeight="1"/>
    <row r="1042680" ht="10.5" customHeight="1"/>
    <row r="1042681" ht="10.5" customHeight="1"/>
    <row r="1042682" ht="10.5" customHeight="1"/>
    <row r="1042683" ht="10.5" customHeight="1"/>
    <row r="1042684" ht="10.5" customHeight="1"/>
    <row r="1042685" ht="10.5" customHeight="1"/>
    <row r="1042686" ht="10.5" customHeight="1"/>
    <row r="1042687" ht="10.5" customHeight="1"/>
    <row r="1042688" ht="10.5" customHeight="1"/>
    <row r="1042689" ht="10.5" customHeight="1"/>
    <row r="1042690" ht="10.5" customHeight="1"/>
    <row r="1042691" ht="10.5" customHeight="1"/>
    <row r="1042692" ht="10.5" customHeight="1"/>
    <row r="1042693" ht="10.5" customHeight="1"/>
    <row r="1042694" ht="10.5" customHeight="1"/>
    <row r="1042695" ht="10.5" customHeight="1"/>
    <row r="1042696" ht="10.5" customHeight="1"/>
    <row r="1042697" ht="10.5" customHeight="1"/>
    <row r="1042698" ht="10.5" customHeight="1"/>
    <row r="1042699" ht="10.5" customHeight="1"/>
    <row r="1042700" ht="10.5" customHeight="1"/>
    <row r="1042701" ht="10.5" customHeight="1"/>
    <row r="1042702" ht="10.5" customHeight="1"/>
    <row r="1042703" ht="10.5" customHeight="1"/>
    <row r="1042704" ht="10.5" customHeight="1"/>
    <row r="1042705" ht="10.5" customHeight="1"/>
    <row r="1042706" ht="10.5" customHeight="1"/>
    <row r="1042707" ht="10.5" customHeight="1"/>
    <row r="1042708" ht="10.5" customHeight="1"/>
    <row r="1042709" ht="10.5" customHeight="1"/>
    <row r="1042710" ht="10.5" customHeight="1"/>
    <row r="1042711" ht="10.5" customHeight="1"/>
    <row r="1042712" ht="10.5" customHeight="1"/>
    <row r="1042713" ht="10.5" customHeight="1"/>
    <row r="1042714" ht="10.5" customHeight="1"/>
    <row r="1042715" ht="10.5" customHeight="1"/>
    <row r="1042716" ht="10.5" customHeight="1"/>
    <row r="1042717" ht="10.5" customHeight="1"/>
    <row r="1042718" ht="10.5" customHeight="1"/>
    <row r="1042719" ht="10.5" customHeight="1"/>
    <row r="1042720" ht="10.5" customHeight="1"/>
    <row r="1042721" ht="10.5" customHeight="1"/>
    <row r="1042722" ht="10.5" customHeight="1"/>
    <row r="1042723" ht="10.5" customHeight="1"/>
    <row r="1042724" ht="10.5" customHeight="1"/>
    <row r="1042725" ht="10.5" customHeight="1"/>
    <row r="1042726" ht="10.5" customHeight="1"/>
    <row r="1042727" ht="10.5" customHeight="1"/>
    <row r="1042728" ht="10.5" customHeight="1"/>
    <row r="1042729" ht="10.5" customHeight="1"/>
    <row r="1042730" ht="10.5" customHeight="1"/>
    <row r="1042731" ht="10.5" customHeight="1"/>
    <row r="1042732" ht="10.5" customHeight="1"/>
    <row r="1042733" ht="10.5" customHeight="1"/>
    <row r="1042734" ht="10.5" customHeight="1"/>
    <row r="1042735" ht="10.5" customHeight="1"/>
    <row r="1042736" ht="10.5" customHeight="1"/>
    <row r="1042737" ht="10.5" customHeight="1"/>
    <row r="1042738" ht="10.5" customHeight="1"/>
    <row r="1042739" ht="10.5" customHeight="1"/>
    <row r="1042740" ht="10.5" customHeight="1"/>
    <row r="1042741" ht="10.5" customHeight="1"/>
    <row r="1042742" ht="10.5" customHeight="1"/>
    <row r="1042743" ht="10.5" customHeight="1"/>
    <row r="1042744" ht="10.5" customHeight="1"/>
    <row r="1042745" ht="10.5" customHeight="1"/>
    <row r="1042746" ht="10.5" customHeight="1"/>
    <row r="1042747" ht="10.5" customHeight="1"/>
    <row r="1042748" ht="10.5" customHeight="1"/>
    <row r="1042749" ht="10.5" customHeight="1"/>
    <row r="1042750" ht="10.5" customHeight="1"/>
    <row r="1042751" ht="10.5" customHeight="1"/>
    <row r="1042752" ht="10.5" customHeight="1"/>
    <row r="1042753" ht="10.5" customHeight="1"/>
    <row r="1042754" ht="10.5" customHeight="1"/>
    <row r="1042755" ht="10.5" customHeight="1"/>
    <row r="1042756" ht="10.5" customHeight="1"/>
    <row r="1042757" ht="10.5" customHeight="1"/>
    <row r="1042758" ht="10.5" customHeight="1"/>
    <row r="1042759" ht="10.5" customHeight="1"/>
    <row r="1042760" ht="10.5" customHeight="1"/>
    <row r="1042761" ht="10.5" customHeight="1"/>
    <row r="1042762" ht="10.5" customHeight="1"/>
    <row r="1042763" ht="10.5" customHeight="1"/>
    <row r="1042764" ht="10.5" customHeight="1"/>
    <row r="1042765" ht="10.5" customHeight="1"/>
    <row r="1042766" ht="10.5" customHeight="1"/>
    <row r="1042767" ht="10.5" customHeight="1"/>
    <row r="1042768" ht="10.5" customHeight="1"/>
    <row r="1042769" ht="10.5" customHeight="1"/>
    <row r="1042770" ht="10.5" customHeight="1"/>
    <row r="1042771" ht="10.5" customHeight="1"/>
    <row r="1042772" ht="10.5" customHeight="1"/>
    <row r="1042773" ht="10.5" customHeight="1"/>
    <row r="1042774" ht="10.5" customHeight="1"/>
    <row r="1042775" ht="10.5" customHeight="1"/>
    <row r="1042776" ht="10.5" customHeight="1"/>
    <row r="1042777" ht="10.5" customHeight="1"/>
    <row r="1042778" ht="10.5" customHeight="1"/>
    <row r="1042779" ht="10.5" customHeight="1"/>
    <row r="1042780" ht="10.5" customHeight="1"/>
    <row r="1042781" ht="10.5" customHeight="1"/>
    <row r="1042782" ht="10.5" customHeight="1"/>
    <row r="1042783" ht="10.5" customHeight="1"/>
    <row r="1042784" ht="10.5" customHeight="1"/>
    <row r="1042785" ht="10.5" customHeight="1"/>
    <row r="1042786" ht="10.5" customHeight="1"/>
    <row r="1042787" ht="10.5" customHeight="1"/>
    <row r="1042788" ht="10.5" customHeight="1"/>
    <row r="1042789" ht="10.5" customHeight="1"/>
    <row r="1042790" ht="10.5" customHeight="1"/>
    <row r="1042791" ht="10.5" customHeight="1"/>
    <row r="1042792" ht="10.5" customHeight="1"/>
    <row r="1042793" ht="10.5" customHeight="1"/>
    <row r="1042794" ht="10.5" customHeight="1"/>
    <row r="1042795" ht="10.5" customHeight="1"/>
    <row r="1042796" ht="10.5" customHeight="1"/>
    <row r="1042797" ht="10.5" customHeight="1"/>
    <row r="1042798" ht="10.5" customHeight="1"/>
    <row r="1042799" ht="10.5" customHeight="1"/>
    <row r="1042800" ht="10.5" customHeight="1"/>
    <row r="1042801" ht="10.5" customHeight="1"/>
    <row r="1042802" ht="10.5" customHeight="1"/>
    <row r="1042803" ht="10.5" customHeight="1"/>
    <row r="1042804" ht="10.5" customHeight="1"/>
    <row r="1042805" ht="10.5" customHeight="1"/>
    <row r="1042806" ht="10.5" customHeight="1"/>
    <row r="1042807" ht="10.5" customHeight="1"/>
    <row r="1042808" ht="10.5" customHeight="1"/>
    <row r="1042809" ht="10.5" customHeight="1"/>
    <row r="1042810" ht="10.5" customHeight="1"/>
    <row r="1042811" ht="10.5" customHeight="1"/>
    <row r="1042812" ht="10.5" customHeight="1"/>
    <row r="1042813" ht="10.5" customHeight="1"/>
    <row r="1042814" ht="10.5" customHeight="1"/>
    <row r="1042815" ht="10.5" customHeight="1"/>
    <row r="1042816" ht="10.5" customHeight="1"/>
    <row r="1042817" ht="10.5" customHeight="1"/>
    <row r="1042818" ht="10.5" customHeight="1"/>
    <row r="1042819" ht="10.5" customHeight="1"/>
    <row r="1042820" ht="10.5" customHeight="1"/>
    <row r="1042821" ht="10.5" customHeight="1"/>
    <row r="1042822" ht="10.5" customHeight="1"/>
    <row r="1042823" ht="10.5" customHeight="1"/>
    <row r="1042824" ht="10.5" customHeight="1"/>
    <row r="1042825" ht="10.5" customHeight="1"/>
    <row r="1042826" ht="10.5" customHeight="1"/>
    <row r="1042827" ht="10.5" customHeight="1"/>
    <row r="1042828" ht="10.5" customHeight="1"/>
    <row r="1042829" ht="10.5" customHeight="1"/>
    <row r="1042830" ht="10.5" customHeight="1"/>
    <row r="1042831" ht="10.5" customHeight="1"/>
    <row r="1042832" ht="10.5" customHeight="1"/>
    <row r="1042833" ht="10.5" customHeight="1"/>
    <row r="1042834" ht="10.5" customHeight="1"/>
    <row r="1042835" ht="10.5" customHeight="1"/>
    <row r="1042836" ht="10.5" customHeight="1"/>
    <row r="1042837" ht="10.5" customHeight="1"/>
    <row r="1042838" ht="10.5" customHeight="1"/>
    <row r="1042839" ht="10.5" customHeight="1"/>
    <row r="1042840" ht="10.5" customHeight="1"/>
    <row r="1042841" ht="10.5" customHeight="1"/>
    <row r="1042842" ht="10.5" customHeight="1"/>
    <row r="1042843" ht="10.5" customHeight="1"/>
    <row r="1042844" ht="10.5" customHeight="1"/>
    <row r="1042845" ht="10.5" customHeight="1"/>
    <row r="1042846" ht="10.5" customHeight="1"/>
    <row r="1042847" ht="10.5" customHeight="1"/>
    <row r="1042848" ht="10.5" customHeight="1"/>
    <row r="1042849" ht="10.5" customHeight="1"/>
    <row r="1042850" ht="10.5" customHeight="1"/>
    <row r="1042851" ht="10.5" customHeight="1"/>
    <row r="1042852" ht="10.5" customHeight="1"/>
    <row r="1042853" ht="10.5" customHeight="1"/>
    <row r="1042854" ht="10.5" customHeight="1"/>
    <row r="1042855" ht="10.5" customHeight="1"/>
    <row r="1042856" ht="10.5" customHeight="1"/>
    <row r="1042857" ht="10.5" customHeight="1"/>
    <row r="1042858" ht="10.5" customHeight="1"/>
    <row r="1042859" ht="10.5" customHeight="1"/>
    <row r="1042860" ht="10.5" customHeight="1"/>
    <row r="1042861" ht="10.5" customHeight="1"/>
    <row r="1042862" ht="10.5" customHeight="1"/>
    <row r="1042863" ht="10.5" customHeight="1"/>
    <row r="1042864" ht="10.5" customHeight="1"/>
    <row r="1042865" ht="10.5" customHeight="1"/>
    <row r="1042866" ht="10.5" customHeight="1"/>
    <row r="1042867" ht="10.5" customHeight="1"/>
    <row r="1042868" ht="10.5" customHeight="1"/>
    <row r="1042869" ht="10.5" customHeight="1"/>
    <row r="1042870" ht="10.5" customHeight="1"/>
    <row r="1042871" ht="10.5" customHeight="1"/>
    <row r="1042872" ht="10.5" customHeight="1"/>
    <row r="1042873" ht="10.5" customHeight="1"/>
    <row r="1042874" ht="10.5" customHeight="1"/>
    <row r="1042875" ht="10.5" customHeight="1"/>
    <row r="1042876" ht="10.5" customHeight="1"/>
    <row r="1042877" ht="10.5" customHeight="1"/>
    <row r="1042878" ht="10.5" customHeight="1"/>
    <row r="1042879" ht="10.5" customHeight="1"/>
    <row r="1042880" ht="10.5" customHeight="1"/>
    <row r="1042881" ht="10.5" customHeight="1"/>
    <row r="1042882" ht="10.5" customHeight="1"/>
    <row r="1042883" ht="10.5" customHeight="1"/>
    <row r="1042884" ht="10.5" customHeight="1"/>
    <row r="1042885" ht="10.5" customHeight="1"/>
    <row r="1042886" ht="10.5" customHeight="1"/>
    <row r="1042887" ht="10.5" customHeight="1"/>
    <row r="1042888" ht="10.5" customHeight="1"/>
    <row r="1042889" ht="10.5" customHeight="1"/>
    <row r="1042890" ht="10.5" customHeight="1"/>
    <row r="1042891" ht="10.5" customHeight="1"/>
    <row r="1042892" ht="10.5" customHeight="1"/>
    <row r="1042893" ht="10.5" customHeight="1"/>
    <row r="1042894" ht="10.5" customHeight="1"/>
    <row r="1042895" ht="10.5" customHeight="1"/>
    <row r="1042896" ht="10.5" customHeight="1"/>
    <row r="1042897" ht="10.5" customHeight="1"/>
    <row r="1042898" ht="10.5" customHeight="1"/>
    <row r="1042899" ht="10.5" customHeight="1"/>
    <row r="1042900" ht="10.5" customHeight="1"/>
    <row r="1042901" ht="10.5" customHeight="1"/>
    <row r="1042902" ht="10.5" customHeight="1"/>
    <row r="1042903" ht="10.5" customHeight="1"/>
    <row r="1042904" ht="10.5" customHeight="1"/>
    <row r="1042905" ht="10.5" customHeight="1"/>
    <row r="1042906" ht="10.5" customHeight="1"/>
    <row r="1042907" ht="10.5" customHeight="1"/>
    <row r="1042908" ht="10.5" customHeight="1"/>
    <row r="1042909" ht="10.5" customHeight="1"/>
    <row r="1042910" ht="10.5" customHeight="1"/>
    <row r="1042911" ht="10.5" customHeight="1"/>
    <row r="1042912" ht="10.5" customHeight="1"/>
    <row r="1042913" ht="10.5" customHeight="1"/>
    <row r="1042914" ht="10.5" customHeight="1"/>
    <row r="1042915" ht="10.5" customHeight="1"/>
    <row r="1042916" ht="10.5" customHeight="1"/>
    <row r="1042917" ht="10.5" customHeight="1"/>
    <row r="1042918" ht="10.5" customHeight="1"/>
    <row r="1042919" ht="10.5" customHeight="1"/>
    <row r="1042920" ht="10.5" customHeight="1"/>
    <row r="1042921" ht="10.5" customHeight="1"/>
    <row r="1042922" ht="10.5" customHeight="1"/>
    <row r="1042923" ht="10.5" customHeight="1"/>
    <row r="1042924" ht="10.5" customHeight="1"/>
    <row r="1042925" ht="10.5" customHeight="1"/>
    <row r="1042926" ht="10.5" customHeight="1"/>
    <row r="1042927" ht="10.5" customHeight="1"/>
    <row r="1042928" ht="10.5" customHeight="1"/>
    <row r="1042929" ht="10.5" customHeight="1"/>
    <row r="1042930" ht="10.5" customHeight="1"/>
    <row r="1042931" ht="10.5" customHeight="1"/>
    <row r="1042932" ht="10.5" customHeight="1"/>
    <row r="1042933" ht="10.5" customHeight="1"/>
    <row r="1042934" ht="10.5" customHeight="1"/>
    <row r="1042935" ht="10.5" customHeight="1"/>
    <row r="1042936" ht="10.5" customHeight="1"/>
    <row r="1042937" ht="10.5" customHeight="1"/>
    <row r="1042938" ht="10.5" customHeight="1"/>
    <row r="1042939" ht="10.5" customHeight="1"/>
    <row r="1042940" ht="10.5" customHeight="1"/>
    <row r="1042941" ht="10.5" customHeight="1"/>
    <row r="1042942" ht="10.5" customHeight="1"/>
    <row r="1042943" ht="10.5" customHeight="1"/>
    <row r="1042944" ht="10.5" customHeight="1"/>
    <row r="1042945" ht="10.5" customHeight="1"/>
    <row r="1042946" ht="10.5" customHeight="1"/>
    <row r="1042947" ht="10.5" customHeight="1"/>
    <row r="1042948" ht="10.5" customHeight="1"/>
    <row r="1042949" ht="10.5" customHeight="1"/>
    <row r="1042950" ht="10.5" customHeight="1"/>
    <row r="1042951" ht="10.5" customHeight="1"/>
    <row r="1042952" ht="10.5" customHeight="1"/>
    <row r="1042953" ht="10.5" customHeight="1"/>
    <row r="1042954" ht="10.5" customHeight="1"/>
    <row r="1042955" ht="10.5" customHeight="1"/>
    <row r="1042956" ht="10.5" customHeight="1"/>
    <row r="1042957" ht="10.5" customHeight="1"/>
    <row r="1042958" ht="10.5" customHeight="1"/>
    <row r="1042959" ht="10.5" customHeight="1"/>
    <row r="1042960" ht="10.5" customHeight="1"/>
    <row r="1042961" ht="10.5" customHeight="1"/>
    <row r="1042962" ht="10.5" customHeight="1"/>
    <row r="1042963" ht="10.5" customHeight="1"/>
    <row r="1042964" ht="10.5" customHeight="1"/>
    <row r="1042965" ht="10.5" customHeight="1"/>
    <row r="1042966" ht="10.5" customHeight="1"/>
    <row r="1042967" ht="10.5" customHeight="1"/>
    <row r="1042968" ht="10.5" customHeight="1"/>
    <row r="1042969" ht="10.5" customHeight="1"/>
    <row r="1042970" ht="10.5" customHeight="1"/>
    <row r="1042971" ht="10.5" customHeight="1"/>
    <row r="1042972" ht="10.5" customHeight="1"/>
    <row r="1042973" ht="10.5" customHeight="1"/>
    <row r="1042974" ht="10.5" customHeight="1"/>
    <row r="1042975" ht="10.5" customHeight="1"/>
    <row r="1042976" ht="10.5" customHeight="1"/>
    <row r="1042977" ht="10.5" customHeight="1"/>
    <row r="1042978" ht="10.5" customHeight="1"/>
    <row r="1042979" ht="10.5" customHeight="1"/>
    <row r="1042980" ht="10.5" customHeight="1"/>
    <row r="1042981" ht="10.5" customHeight="1"/>
    <row r="1042982" ht="10.5" customHeight="1"/>
    <row r="1042983" ht="10.5" customHeight="1"/>
    <row r="1042984" ht="10.5" customHeight="1"/>
    <row r="1042985" ht="10.5" customHeight="1"/>
    <row r="1042986" ht="10.5" customHeight="1"/>
    <row r="1042987" ht="10.5" customHeight="1"/>
    <row r="1042988" ht="10.5" customHeight="1"/>
    <row r="1042989" ht="10.5" customHeight="1"/>
    <row r="1042990" ht="10.5" customHeight="1"/>
    <row r="1042991" ht="10.5" customHeight="1"/>
    <row r="1042992" ht="10.5" customHeight="1"/>
    <row r="1042993" ht="10.5" customHeight="1"/>
    <row r="1042994" ht="10.5" customHeight="1"/>
    <row r="1042995" ht="10.5" customHeight="1"/>
    <row r="1042996" ht="10.5" customHeight="1"/>
    <row r="1042997" ht="10.5" customHeight="1"/>
    <row r="1042998" ht="10.5" customHeight="1"/>
    <row r="1042999" ht="10.5" customHeight="1"/>
    <row r="1043000" ht="10.5" customHeight="1"/>
    <row r="1043001" ht="10.5" customHeight="1"/>
    <row r="1043002" ht="10.5" customHeight="1"/>
    <row r="1043003" ht="10.5" customHeight="1"/>
    <row r="1043004" ht="10.5" customHeight="1"/>
    <row r="1043005" ht="10.5" customHeight="1"/>
    <row r="1043006" ht="10.5" customHeight="1"/>
    <row r="1043007" ht="10.5" customHeight="1"/>
    <row r="1043008" ht="10.5" customHeight="1"/>
    <row r="1043009" ht="10.5" customHeight="1"/>
    <row r="1043010" ht="10.5" customHeight="1"/>
    <row r="1043011" ht="10.5" customHeight="1"/>
    <row r="1043012" ht="10.5" customHeight="1"/>
    <row r="1043013" ht="10.5" customHeight="1"/>
    <row r="1043014" ht="10.5" customHeight="1"/>
    <row r="1043015" ht="10.5" customHeight="1"/>
    <row r="1043016" ht="10.5" customHeight="1"/>
    <row r="1043017" ht="10.5" customHeight="1"/>
    <row r="1043018" ht="10.5" customHeight="1"/>
    <row r="1043019" ht="10.5" customHeight="1"/>
    <row r="1043020" ht="10.5" customHeight="1"/>
    <row r="1043021" ht="10.5" customHeight="1"/>
    <row r="1043022" ht="10.5" customHeight="1"/>
    <row r="1043023" ht="10.5" customHeight="1"/>
    <row r="1043024" ht="10.5" customHeight="1"/>
    <row r="1043025" ht="10.5" customHeight="1"/>
    <row r="1043026" ht="10.5" customHeight="1"/>
    <row r="1043027" ht="10.5" customHeight="1"/>
    <row r="1043028" ht="10.5" customHeight="1"/>
    <row r="1043029" ht="10.5" customHeight="1"/>
    <row r="1043030" ht="10.5" customHeight="1"/>
    <row r="1043031" ht="10.5" customHeight="1"/>
    <row r="1043032" ht="10.5" customHeight="1"/>
    <row r="1043033" ht="10.5" customHeight="1"/>
    <row r="1043034" ht="10.5" customHeight="1"/>
    <row r="1043035" ht="10.5" customHeight="1"/>
    <row r="1043036" ht="10.5" customHeight="1"/>
    <row r="1043037" ht="10.5" customHeight="1"/>
    <row r="1043038" ht="10.5" customHeight="1"/>
    <row r="1043039" ht="10.5" customHeight="1"/>
    <row r="1043040" ht="10.5" customHeight="1"/>
    <row r="1043041" ht="10.5" customHeight="1"/>
    <row r="1043042" ht="10.5" customHeight="1"/>
    <row r="1043043" ht="10.5" customHeight="1"/>
    <row r="1043044" ht="10.5" customHeight="1"/>
    <row r="1043045" ht="10.5" customHeight="1"/>
    <row r="1043046" ht="10.5" customHeight="1"/>
    <row r="1043047" ht="10.5" customHeight="1"/>
    <row r="1043048" ht="10.5" customHeight="1"/>
    <row r="1043049" ht="10.5" customHeight="1"/>
    <row r="1043050" ht="10.5" customHeight="1"/>
    <row r="1043051" ht="10.5" customHeight="1"/>
    <row r="1043052" ht="10.5" customHeight="1"/>
    <row r="1043053" ht="10.5" customHeight="1"/>
    <row r="1043054" ht="10.5" customHeight="1"/>
    <row r="1043055" ht="10.5" customHeight="1"/>
    <row r="1043056" ht="10.5" customHeight="1"/>
    <row r="1043057" ht="10.5" customHeight="1"/>
    <row r="1043058" ht="10.5" customHeight="1"/>
    <row r="1043059" ht="10.5" customHeight="1"/>
    <row r="1043060" ht="10.5" customHeight="1"/>
    <row r="1043061" ht="10.5" customHeight="1"/>
    <row r="1043062" ht="10.5" customHeight="1"/>
    <row r="1043063" ht="10.5" customHeight="1"/>
    <row r="1043064" ht="10.5" customHeight="1"/>
    <row r="1043065" ht="10.5" customHeight="1"/>
    <row r="1043066" ht="10.5" customHeight="1"/>
    <row r="1043067" ht="10.5" customHeight="1"/>
    <row r="1043068" ht="10.5" customHeight="1"/>
    <row r="1043069" ht="10.5" customHeight="1"/>
    <row r="1043070" ht="10.5" customHeight="1"/>
    <row r="1043071" ht="10.5" customHeight="1"/>
    <row r="1043072" ht="10.5" customHeight="1"/>
    <row r="1043073" ht="10.5" customHeight="1"/>
    <row r="1043074" ht="10.5" customHeight="1"/>
    <row r="1043075" ht="10.5" customHeight="1"/>
    <row r="1043076" ht="10.5" customHeight="1"/>
    <row r="1043077" ht="10.5" customHeight="1"/>
    <row r="1043078" ht="10.5" customHeight="1"/>
    <row r="1043079" ht="10.5" customHeight="1"/>
    <row r="1043080" ht="10.5" customHeight="1"/>
    <row r="1043081" ht="10.5" customHeight="1"/>
    <row r="1043082" ht="10.5" customHeight="1"/>
    <row r="1043083" ht="10.5" customHeight="1"/>
    <row r="1043084" ht="10.5" customHeight="1"/>
    <row r="1043085" ht="10.5" customHeight="1"/>
    <row r="1043086" ht="10.5" customHeight="1"/>
    <row r="1043087" ht="10.5" customHeight="1"/>
    <row r="1043088" ht="10.5" customHeight="1"/>
    <row r="1043089" ht="10.5" customHeight="1"/>
    <row r="1043090" ht="10.5" customHeight="1"/>
    <row r="1043091" ht="10.5" customHeight="1"/>
    <row r="1043092" ht="10.5" customHeight="1"/>
    <row r="1043093" ht="10.5" customHeight="1"/>
    <row r="1043094" ht="10.5" customHeight="1"/>
    <row r="1043095" ht="10.5" customHeight="1"/>
    <row r="1043096" ht="10.5" customHeight="1"/>
    <row r="1043097" ht="10.5" customHeight="1"/>
    <row r="1043098" ht="10.5" customHeight="1"/>
    <row r="1043099" ht="10.5" customHeight="1"/>
    <row r="1043100" ht="10.5" customHeight="1"/>
    <row r="1043101" ht="10.5" customHeight="1"/>
    <row r="1043102" ht="10.5" customHeight="1"/>
    <row r="1043103" ht="10.5" customHeight="1"/>
    <row r="1043104" ht="10.5" customHeight="1"/>
    <row r="1043105" ht="10.5" customHeight="1"/>
    <row r="1043106" ht="10.5" customHeight="1"/>
    <row r="1043107" ht="10.5" customHeight="1"/>
    <row r="1043108" ht="10.5" customHeight="1"/>
    <row r="1043109" ht="10.5" customHeight="1"/>
    <row r="1043110" ht="10.5" customHeight="1"/>
    <row r="1043111" ht="10.5" customHeight="1"/>
    <row r="1043112" ht="10.5" customHeight="1"/>
    <row r="1043113" ht="10.5" customHeight="1"/>
    <row r="1043114" ht="10.5" customHeight="1"/>
    <row r="1043115" ht="10.5" customHeight="1"/>
    <row r="1043116" ht="10.5" customHeight="1"/>
    <row r="1043117" ht="10.5" customHeight="1"/>
    <row r="1043118" ht="10.5" customHeight="1"/>
    <row r="1043119" ht="10.5" customHeight="1"/>
    <row r="1043120" ht="10.5" customHeight="1"/>
    <row r="1043121" ht="10.5" customHeight="1"/>
    <row r="1043122" ht="10.5" customHeight="1"/>
    <row r="1043123" ht="10.5" customHeight="1"/>
    <row r="1043124" ht="10.5" customHeight="1"/>
    <row r="1043125" ht="10.5" customHeight="1"/>
    <row r="1043126" ht="10.5" customHeight="1"/>
    <row r="1043127" ht="10.5" customHeight="1"/>
    <row r="1043128" ht="10.5" customHeight="1"/>
    <row r="1043129" ht="10.5" customHeight="1"/>
    <row r="1043130" ht="10.5" customHeight="1"/>
    <row r="1043131" ht="10.5" customHeight="1"/>
    <row r="1043132" ht="10.5" customHeight="1"/>
    <row r="1043133" ht="10.5" customHeight="1"/>
    <row r="1043134" ht="10.5" customHeight="1"/>
    <row r="1043135" ht="10.5" customHeight="1"/>
    <row r="1043136" ht="10.5" customHeight="1"/>
    <row r="1043137" ht="10.5" customHeight="1"/>
    <row r="1043138" ht="10.5" customHeight="1"/>
    <row r="1043139" ht="10.5" customHeight="1"/>
    <row r="1043140" ht="10.5" customHeight="1"/>
    <row r="1043141" ht="10.5" customHeight="1"/>
    <row r="1043142" ht="10.5" customHeight="1"/>
    <row r="1043143" ht="10.5" customHeight="1"/>
    <row r="1043144" ht="10.5" customHeight="1"/>
    <row r="1043145" ht="10.5" customHeight="1"/>
    <row r="1043146" ht="10.5" customHeight="1"/>
    <row r="1043147" ht="10.5" customHeight="1"/>
    <row r="1043148" ht="10.5" customHeight="1"/>
    <row r="1043149" ht="10.5" customHeight="1"/>
    <row r="1043150" ht="10.5" customHeight="1"/>
    <row r="1043151" ht="10.5" customHeight="1"/>
    <row r="1043152" ht="10.5" customHeight="1"/>
    <row r="1043153" ht="10.5" customHeight="1"/>
    <row r="1043154" ht="10.5" customHeight="1"/>
    <row r="1043155" ht="10.5" customHeight="1"/>
    <row r="1043156" ht="10.5" customHeight="1"/>
    <row r="1043157" ht="10.5" customHeight="1"/>
    <row r="1043158" ht="10.5" customHeight="1"/>
    <row r="1043159" ht="10.5" customHeight="1"/>
    <row r="1043160" ht="10.5" customHeight="1"/>
    <row r="1043161" ht="10.5" customHeight="1"/>
    <row r="1043162" ht="10.5" customHeight="1"/>
    <row r="1043163" ht="10.5" customHeight="1"/>
    <row r="1043164" ht="10.5" customHeight="1"/>
    <row r="1043165" ht="10.5" customHeight="1"/>
    <row r="1043166" ht="10.5" customHeight="1"/>
    <row r="1043167" ht="10.5" customHeight="1"/>
    <row r="1043168" ht="10.5" customHeight="1"/>
    <row r="1043169" ht="10.5" customHeight="1"/>
    <row r="1043170" ht="10.5" customHeight="1"/>
    <row r="1043171" ht="10.5" customHeight="1"/>
    <row r="1043172" ht="10.5" customHeight="1"/>
    <row r="1043173" ht="10.5" customHeight="1"/>
    <row r="1043174" ht="10.5" customHeight="1"/>
    <row r="1043175" ht="10.5" customHeight="1"/>
    <row r="1043176" ht="10.5" customHeight="1"/>
    <row r="1043177" ht="10.5" customHeight="1"/>
    <row r="1043178" ht="10.5" customHeight="1"/>
    <row r="1043179" ht="10.5" customHeight="1"/>
    <row r="1043180" ht="10.5" customHeight="1"/>
    <row r="1043181" ht="10.5" customHeight="1"/>
    <row r="1043182" ht="10.5" customHeight="1"/>
    <row r="1043183" ht="10.5" customHeight="1"/>
    <row r="1043184" ht="10.5" customHeight="1"/>
    <row r="1043185" ht="10.5" customHeight="1"/>
    <row r="1043186" ht="10.5" customHeight="1"/>
    <row r="1043187" ht="10.5" customHeight="1"/>
    <row r="1043188" ht="10.5" customHeight="1"/>
    <row r="1043189" ht="10.5" customHeight="1"/>
    <row r="1043190" ht="10.5" customHeight="1"/>
    <row r="1043191" ht="10.5" customHeight="1"/>
    <row r="1043192" ht="10.5" customHeight="1"/>
    <row r="1043193" ht="10.5" customHeight="1"/>
    <row r="1043194" ht="10.5" customHeight="1"/>
    <row r="1043195" ht="10.5" customHeight="1"/>
    <row r="1043196" ht="10.5" customHeight="1"/>
    <row r="1043197" ht="10.5" customHeight="1"/>
    <row r="1043198" ht="10.5" customHeight="1"/>
    <row r="1043199" ht="10.5" customHeight="1"/>
    <row r="1043200" ht="10.5" customHeight="1"/>
    <row r="1043201" ht="10.5" customHeight="1"/>
    <row r="1043202" ht="10.5" customHeight="1"/>
    <row r="1043203" ht="10.5" customHeight="1"/>
    <row r="1043204" ht="10.5" customHeight="1"/>
    <row r="1043205" ht="10.5" customHeight="1"/>
    <row r="1043206" ht="10.5" customHeight="1"/>
    <row r="1043207" ht="10.5" customHeight="1"/>
    <row r="1043208" ht="10.5" customHeight="1"/>
    <row r="1043209" ht="10.5" customHeight="1"/>
    <row r="1043210" ht="10.5" customHeight="1"/>
    <row r="1043211" ht="10.5" customHeight="1"/>
    <row r="1043212" ht="10.5" customHeight="1"/>
    <row r="1043213" ht="10.5" customHeight="1"/>
    <row r="1043214" ht="10.5" customHeight="1"/>
    <row r="1043215" ht="10.5" customHeight="1"/>
    <row r="1043216" ht="10.5" customHeight="1"/>
    <row r="1043217" ht="10.5" customHeight="1"/>
    <row r="1043218" ht="10.5" customHeight="1"/>
    <row r="1043219" ht="10.5" customHeight="1"/>
    <row r="1043220" ht="10.5" customHeight="1"/>
    <row r="1043221" ht="10.5" customHeight="1"/>
    <row r="1043222" ht="10.5" customHeight="1"/>
    <row r="1043223" ht="10.5" customHeight="1"/>
    <row r="1043224" ht="10.5" customHeight="1"/>
    <row r="1043225" ht="10.5" customHeight="1"/>
    <row r="1043226" ht="10.5" customHeight="1"/>
    <row r="1043227" ht="10.5" customHeight="1"/>
    <row r="1043228" ht="10.5" customHeight="1"/>
    <row r="1043229" ht="10.5" customHeight="1"/>
    <row r="1043230" ht="10.5" customHeight="1"/>
    <row r="1043231" ht="10.5" customHeight="1"/>
    <row r="1043232" ht="10.5" customHeight="1"/>
    <row r="1043233" ht="10.5" customHeight="1"/>
    <row r="1043234" ht="10.5" customHeight="1"/>
    <row r="1043235" ht="10.5" customHeight="1"/>
    <row r="1043236" ht="10.5" customHeight="1"/>
    <row r="1043237" ht="10.5" customHeight="1"/>
    <row r="1043238" ht="10.5" customHeight="1"/>
    <row r="1043239" ht="10.5" customHeight="1"/>
    <row r="1043240" ht="10.5" customHeight="1"/>
    <row r="1043241" ht="10.5" customHeight="1"/>
    <row r="1043242" ht="10.5" customHeight="1"/>
    <row r="1043243" ht="10.5" customHeight="1"/>
    <row r="1043244" ht="10.5" customHeight="1"/>
    <row r="1043245" ht="10.5" customHeight="1"/>
    <row r="1043246" ht="10.5" customHeight="1"/>
    <row r="1043247" ht="10.5" customHeight="1"/>
    <row r="1043248" ht="10.5" customHeight="1"/>
    <row r="1043249" ht="10.5" customHeight="1"/>
    <row r="1043250" ht="10.5" customHeight="1"/>
    <row r="1043251" ht="10.5" customHeight="1"/>
    <row r="1043252" ht="10.5" customHeight="1"/>
    <row r="1043253" ht="10.5" customHeight="1"/>
    <row r="1043254" ht="10.5" customHeight="1"/>
    <row r="1043255" ht="10.5" customHeight="1"/>
    <row r="1043256" ht="10.5" customHeight="1"/>
    <row r="1043257" ht="10.5" customHeight="1"/>
    <row r="1043258" ht="10.5" customHeight="1"/>
    <row r="1043259" ht="10.5" customHeight="1"/>
    <row r="1043260" ht="10.5" customHeight="1"/>
    <row r="1043261" ht="10.5" customHeight="1"/>
    <row r="1043262" ht="10.5" customHeight="1"/>
    <row r="1043263" ht="10.5" customHeight="1"/>
    <row r="1043264" ht="10.5" customHeight="1"/>
    <row r="1043265" ht="10.5" customHeight="1"/>
    <row r="1043266" ht="10.5" customHeight="1"/>
    <row r="1043267" ht="10.5" customHeight="1"/>
    <row r="1043268" ht="10.5" customHeight="1"/>
    <row r="1043269" ht="10.5" customHeight="1"/>
    <row r="1043270" ht="10.5" customHeight="1"/>
    <row r="1043271" ht="10.5" customHeight="1"/>
    <row r="1043272" ht="10.5" customHeight="1"/>
    <row r="1043273" ht="10.5" customHeight="1"/>
    <row r="1043274" ht="10.5" customHeight="1"/>
    <row r="1043275" ht="10.5" customHeight="1"/>
    <row r="1043276" ht="10.5" customHeight="1"/>
    <row r="1043277" ht="10.5" customHeight="1"/>
    <row r="1043278" ht="10.5" customHeight="1"/>
    <row r="1043279" ht="10.5" customHeight="1"/>
    <row r="1043280" ht="10.5" customHeight="1"/>
    <row r="1043281" ht="10.5" customHeight="1"/>
    <row r="1043282" ht="10.5" customHeight="1"/>
    <row r="1043283" ht="10.5" customHeight="1"/>
    <row r="1043284" ht="10.5" customHeight="1"/>
    <row r="1043285" ht="10.5" customHeight="1"/>
    <row r="1043286" ht="10.5" customHeight="1"/>
    <row r="1043287" ht="10.5" customHeight="1"/>
    <row r="1043288" ht="10.5" customHeight="1"/>
    <row r="1043289" ht="10.5" customHeight="1"/>
    <row r="1043290" ht="10.5" customHeight="1"/>
    <row r="1043291" ht="10.5" customHeight="1"/>
    <row r="1043292" ht="10.5" customHeight="1"/>
    <row r="1043293" ht="10.5" customHeight="1"/>
    <row r="1043294" ht="10.5" customHeight="1"/>
    <row r="1043295" ht="10.5" customHeight="1"/>
    <row r="1043296" ht="10.5" customHeight="1"/>
    <row r="1043297" ht="10.5" customHeight="1"/>
    <row r="1043298" ht="10.5" customHeight="1"/>
    <row r="1043299" ht="10.5" customHeight="1"/>
    <row r="1043300" ht="10.5" customHeight="1"/>
    <row r="1043301" ht="10.5" customHeight="1"/>
    <row r="1043302" ht="10.5" customHeight="1"/>
    <row r="1043303" ht="10.5" customHeight="1"/>
    <row r="1043304" ht="10.5" customHeight="1"/>
    <row r="1043305" ht="10.5" customHeight="1"/>
    <row r="1043306" ht="10.5" customHeight="1"/>
    <row r="1043307" ht="10.5" customHeight="1"/>
    <row r="1043308" ht="10.5" customHeight="1"/>
    <row r="1043309" ht="10.5" customHeight="1"/>
    <row r="1043310" ht="10.5" customHeight="1"/>
    <row r="1043311" ht="10.5" customHeight="1"/>
    <row r="1043312" ht="10.5" customHeight="1"/>
    <row r="1043313" ht="10.5" customHeight="1"/>
    <row r="1043314" ht="10.5" customHeight="1"/>
    <row r="1043315" ht="10.5" customHeight="1"/>
    <row r="1043316" ht="10.5" customHeight="1"/>
    <row r="1043317" ht="10.5" customHeight="1"/>
    <row r="1043318" ht="10.5" customHeight="1"/>
    <row r="1043319" ht="10.5" customHeight="1"/>
    <row r="1043320" ht="10.5" customHeight="1"/>
    <row r="1043321" ht="10.5" customHeight="1"/>
    <row r="1043322" ht="10.5" customHeight="1"/>
    <row r="1043323" ht="10.5" customHeight="1"/>
    <row r="1043324" ht="10.5" customHeight="1"/>
    <row r="1043325" ht="10.5" customHeight="1"/>
    <row r="1043326" ht="10.5" customHeight="1"/>
    <row r="1043327" ht="10.5" customHeight="1"/>
    <row r="1043328" ht="10.5" customHeight="1"/>
    <row r="1043329" ht="10.5" customHeight="1"/>
    <row r="1043330" ht="10.5" customHeight="1"/>
    <row r="1043331" ht="10.5" customHeight="1"/>
    <row r="1043332" ht="10.5" customHeight="1"/>
    <row r="1043333" ht="10.5" customHeight="1"/>
    <row r="1043334" ht="10.5" customHeight="1"/>
    <row r="1043335" ht="10.5" customHeight="1"/>
    <row r="1043336" ht="10.5" customHeight="1"/>
    <row r="1043337" ht="10.5" customHeight="1"/>
    <row r="1043338" ht="10.5" customHeight="1"/>
    <row r="1043339" ht="10.5" customHeight="1"/>
    <row r="1043340" ht="10.5" customHeight="1"/>
    <row r="1043341" ht="10.5" customHeight="1"/>
    <row r="1043342" ht="10.5" customHeight="1"/>
    <row r="1043343" ht="10.5" customHeight="1"/>
    <row r="1043344" ht="10.5" customHeight="1"/>
    <row r="1043345" ht="10.5" customHeight="1"/>
    <row r="1043346" ht="10.5" customHeight="1"/>
    <row r="1043347" ht="10.5" customHeight="1"/>
    <row r="1043348" ht="10.5" customHeight="1"/>
    <row r="1043349" ht="10.5" customHeight="1"/>
    <row r="1043350" ht="10.5" customHeight="1"/>
    <row r="1043351" ht="10.5" customHeight="1"/>
    <row r="1043352" ht="10.5" customHeight="1"/>
    <row r="1043353" ht="10.5" customHeight="1"/>
    <row r="1043354" ht="10.5" customHeight="1"/>
    <row r="1043355" ht="10.5" customHeight="1"/>
    <row r="1043356" ht="10.5" customHeight="1"/>
    <row r="1043357" ht="10.5" customHeight="1"/>
    <row r="1043358" ht="10.5" customHeight="1"/>
    <row r="1043359" ht="10.5" customHeight="1"/>
    <row r="1043360" ht="10.5" customHeight="1"/>
    <row r="1043361" ht="10.5" customHeight="1"/>
    <row r="1043362" ht="10.5" customHeight="1"/>
    <row r="1043363" ht="10.5" customHeight="1"/>
    <row r="1043364" ht="10.5" customHeight="1"/>
    <row r="1043365" ht="10.5" customHeight="1"/>
    <row r="1043366" ht="10.5" customHeight="1"/>
    <row r="1043367" ht="10.5" customHeight="1"/>
    <row r="1043368" ht="10.5" customHeight="1"/>
    <row r="1043369" ht="10.5" customHeight="1"/>
    <row r="1043370" ht="10.5" customHeight="1"/>
    <row r="1043371" ht="10.5" customHeight="1"/>
    <row r="1043372" ht="10.5" customHeight="1"/>
    <row r="1043373" ht="10.5" customHeight="1"/>
    <row r="1043374" ht="10.5" customHeight="1"/>
    <row r="1043375" ht="10.5" customHeight="1"/>
    <row r="1043376" ht="10.5" customHeight="1"/>
    <row r="1043377" ht="10.5" customHeight="1"/>
    <row r="1043378" ht="10.5" customHeight="1"/>
    <row r="1043379" ht="10.5" customHeight="1"/>
    <row r="1043380" ht="10.5" customHeight="1"/>
    <row r="1043381" ht="10.5" customHeight="1"/>
    <row r="1043382" ht="10.5" customHeight="1"/>
    <row r="1043383" ht="10.5" customHeight="1"/>
    <row r="1043384" ht="10.5" customHeight="1"/>
    <row r="1043385" ht="10.5" customHeight="1"/>
    <row r="1043386" ht="10.5" customHeight="1"/>
    <row r="1043387" ht="10.5" customHeight="1"/>
    <row r="1043388" ht="10.5" customHeight="1"/>
    <row r="1043389" ht="10.5" customHeight="1"/>
    <row r="1043390" ht="10.5" customHeight="1"/>
    <row r="1043391" ht="10.5" customHeight="1"/>
    <row r="1043392" ht="10.5" customHeight="1"/>
    <row r="1043393" ht="10.5" customHeight="1"/>
    <row r="1043394" ht="10.5" customHeight="1"/>
    <row r="1043395" ht="10.5" customHeight="1"/>
    <row r="1043396" ht="10.5" customHeight="1"/>
    <row r="1043397" ht="10.5" customHeight="1"/>
    <row r="1043398" ht="10.5" customHeight="1"/>
    <row r="1043399" ht="10.5" customHeight="1"/>
    <row r="1043400" ht="10.5" customHeight="1"/>
    <row r="1043401" ht="10.5" customHeight="1"/>
    <row r="1043402" ht="10.5" customHeight="1"/>
    <row r="1043403" ht="10.5" customHeight="1"/>
    <row r="1043404" ht="10.5" customHeight="1"/>
    <row r="1043405" ht="10.5" customHeight="1"/>
    <row r="1043406" ht="10.5" customHeight="1"/>
    <row r="1043407" ht="10.5" customHeight="1"/>
    <row r="1043408" ht="10.5" customHeight="1"/>
    <row r="1043409" ht="10.5" customHeight="1"/>
    <row r="1043410" ht="10.5" customHeight="1"/>
    <row r="1043411" ht="10.5" customHeight="1"/>
    <row r="1043412" ht="10.5" customHeight="1"/>
    <row r="1043413" ht="10.5" customHeight="1"/>
    <row r="1043414" ht="10.5" customHeight="1"/>
    <row r="1043415" ht="10.5" customHeight="1"/>
    <row r="1043416" ht="10.5" customHeight="1"/>
    <row r="1043417" ht="10.5" customHeight="1"/>
    <row r="1043418" ht="10.5" customHeight="1"/>
    <row r="1043419" ht="10.5" customHeight="1"/>
    <row r="1043420" ht="10.5" customHeight="1"/>
    <row r="1043421" ht="10.5" customHeight="1"/>
    <row r="1043422" ht="10.5" customHeight="1"/>
    <row r="1043423" ht="10.5" customHeight="1"/>
    <row r="1043424" ht="10.5" customHeight="1"/>
    <row r="1043425" ht="10.5" customHeight="1"/>
    <row r="1043426" ht="10.5" customHeight="1"/>
    <row r="1043427" ht="10.5" customHeight="1"/>
    <row r="1043428" ht="10.5" customHeight="1"/>
    <row r="1043429" ht="10.5" customHeight="1"/>
    <row r="1043430" ht="10.5" customHeight="1"/>
    <row r="1043431" ht="10.5" customHeight="1"/>
    <row r="1043432" ht="10.5" customHeight="1"/>
    <row r="1043433" ht="10.5" customHeight="1"/>
    <row r="1043434" ht="10.5" customHeight="1"/>
    <row r="1043435" ht="10.5" customHeight="1"/>
    <row r="1043436" ht="10.5" customHeight="1"/>
    <row r="1043437" ht="10.5" customHeight="1"/>
    <row r="1043438" ht="10.5" customHeight="1"/>
    <row r="1043439" ht="10.5" customHeight="1"/>
    <row r="1043440" ht="10.5" customHeight="1"/>
    <row r="1043441" ht="10.5" customHeight="1"/>
    <row r="1043442" ht="10.5" customHeight="1"/>
    <row r="1043443" ht="10.5" customHeight="1"/>
    <row r="1043444" ht="10.5" customHeight="1"/>
    <row r="1043445" ht="10.5" customHeight="1"/>
    <row r="1043446" ht="10.5" customHeight="1"/>
    <row r="1043447" ht="10.5" customHeight="1"/>
    <row r="1043448" ht="10.5" customHeight="1"/>
    <row r="1043449" ht="10.5" customHeight="1"/>
    <row r="1043450" ht="10.5" customHeight="1"/>
    <row r="1043451" ht="10.5" customHeight="1"/>
    <row r="1043452" ht="10.5" customHeight="1"/>
    <row r="1043453" ht="10.5" customHeight="1"/>
    <row r="1043454" ht="10.5" customHeight="1"/>
    <row r="1043455" ht="10.5" customHeight="1"/>
    <row r="1043456" ht="10.5" customHeight="1"/>
    <row r="1043457" ht="10.5" customHeight="1"/>
    <row r="1043458" ht="10.5" customHeight="1"/>
    <row r="1043459" ht="10.5" customHeight="1"/>
    <row r="1043460" ht="10.5" customHeight="1"/>
    <row r="1043461" ht="10.5" customHeight="1"/>
    <row r="1043462" ht="10.5" customHeight="1"/>
    <row r="1043463" ht="10.5" customHeight="1"/>
    <row r="1043464" ht="10.5" customHeight="1"/>
    <row r="1043465" ht="10.5" customHeight="1"/>
    <row r="1043466" ht="10.5" customHeight="1"/>
    <row r="1043467" ht="10.5" customHeight="1"/>
    <row r="1043468" ht="10.5" customHeight="1"/>
    <row r="1043469" ht="10.5" customHeight="1"/>
    <row r="1043470" ht="10.5" customHeight="1"/>
    <row r="1043471" ht="10.5" customHeight="1"/>
    <row r="1043472" ht="10.5" customHeight="1"/>
    <row r="1043473" ht="10.5" customHeight="1"/>
    <row r="1043474" ht="10.5" customHeight="1"/>
    <row r="1043475" ht="10.5" customHeight="1"/>
    <row r="1043476" ht="10.5" customHeight="1"/>
    <row r="1043477" ht="10.5" customHeight="1"/>
    <row r="1043478" ht="10.5" customHeight="1"/>
    <row r="1043479" ht="10.5" customHeight="1"/>
    <row r="1043480" ht="10.5" customHeight="1"/>
    <row r="1043481" ht="10.5" customHeight="1"/>
    <row r="1043482" ht="10.5" customHeight="1"/>
    <row r="1043483" ht="10.5" customHeight="1"/>
    <row r="1043484" ht="10.5" customHeight="1"/>
    <row r="1043485" ht="10.5" customHeight="1"/>
    <row r="1043486" ht="10.5" customHeight="1"/>
    <row r="1043487" ht="10.5" customHeight="1"/>
    <row r="1043488" ht="10.5" customHeight="1"/>
    <row r="1043489" ht="10.5" customHeight="1"/>
    <row r="1043490" ht="10.5" customHeight="1"/>
    <row r="1043491" ht="10.5" customHeight="1"/>
    <row r="1043492" ht="10.5" customHeight="1"/>
    <row r="1043493" ht="10.5" customHeight="1"/>
    <row r="1043494" ht="10.5" customHeight="1"/>
    <row r="1043495" ht="10.5" customHeight="1"/>
    <row r="1043496" ht="10.5" customHeight="1"/>
    <row r="1043497" ht="10.5" customHeight="1"/>
    <row r="1043498" ht="10.5" customHeight="1"/>
    <row r="1043499" ht="10.5" customHeight="1"/>
    <row r="1043500" ht="10.5" customHeight="1"/>
    <row r="1043501" ht="10.5" customHeight="1"/>
    <row r="1043502" ht="10.5" customHeight="1"/>
    <row r="1043503" ht="10.5" customHeight="1"/>
    <row r="1043504" ht="10.5" customHeight="1"/>
    <row r="1043505" ht="10.5" customHeight="1"/>
    <row r="1043506" ht="10.5" customHeight="1"/>
    <row r="1043507" ht="10.5" customHeight="1"/>
    <row r="1043508" ht="10.5" customHeight="1"/>
    <row r="1043509" ht="10.5" customHeight="1"/>
    <row r="1043510" ht="10.5" customHeight="1"/>
    <row r="1043511" ht="10.5" customHeight="1"/>
    <row r="1043512" ht="10.5" customHeight="1"/>
    <row r="1043513" ht="10.5" customHeight="1"/>
    <row r="1043514" ht="10.5" customHeight="1"/>
    <row r="1043515" ht="10.5" customHeight="1"/>
    <row r="1043516" ht="10.5" customHeight="1"/>
    <row r="1043517" ht="10.5" customHeight="1"/>
    <row r="1043518" ht="10.5" customHeight="1"/>
    <row r="1043519" ht="10.5" customHeight="1"/>
    <row r="1043520" ht="10.5" customHeight="1"/>
    <row r="1043521" ht="10.5" customHeight="1"/>
    <row r="1043522" ht="10.5" customHeight="1"/>
    <row r="1043523" ht="10.5" customHeight="1"/>
    <row r="1043524" ht="10.5" customHeight="1"/>
    <row r="1043525" ht="10.5" customHeight="1"/>
    <row r="1043526" ht="10.5" customHeight="1"/>
    <row r="1043527" ht="10.5" customHeight="1"/>
    <row r="1043528" ht="10.5" customHeight="1"/>
    <row r="1043529" ht="10.5" customHeight="1"/>
    <row r="1043530" ht="10.5" customHeight="1"/>
    <row r="1043531" ht="10.5" customHeight="1"/>
    <row r="1043532" ht="10.5" customHeight="1"/>
    <row r="1043533" ht="10.5" customHeight="1"/>
    <row r="1043534" ht="10.5" customHeight="1"/>
    <row r="1043535" ht="10.5" customHeight="1"/>
    <row r="1043536" ht="10.5" customHeight="1"/>
    <row r="1043537" ht="10.5" customHeight="1"/>
    <row r="1043538" ht="10.5" customHeight="1"/>
    <row r="1043539" ht="10.5" customHeight="1"/>
    <row r="1043540" ht="10.5" customHeight="1"/>
    <row r="1043541" ht="10.5" customHeight="1"/>
    <row r="1043542" ht="10.5" customHeight="1"/>
    <row r="1043543" ht="10.5" customHeight="1"/>
    <row r="1043544" ht="10.5" customHeight="1"/>
    <row r="1043545" ht="10.5" customHeight="1"/>
    <row r="1043546" ht="10.5" customHeight="1"/>
    <row r="1043547" ht="10.5" customHeight="1"/>
    <row r="1043548" ht="10.5" customHeight="1"/>
    <row r="1043549" ht="10.5" customHeight="1"/>
    <row r="1043550" ht="10.5" customHeight="1"/>
    <row r="1043551" ht="10.5" customHeight="1"/>
    <row r="1043552" ht="10.5" customHeight="1"/>
    <row r="1043553" ht="10.5" customHeight="1"/>
    <row r="1043554" ht="10.5" customHeight="1"/>
    <row r="1043555" ht="10.5" customHeight="1"/>
    <row r="1043556" ht="10.5" customHeight="1"/>
    <row r="1043557" ht="10.5" customHeight="1"/>
    <row r="1043558" ht="10.5" customHeight="1"/>
    <row r="1043559" ht="10.5" customHeight="1"/>
    <row r="1043560" ht="10.5" customHeight="1"/>
    <row r="1043561" ht="10.5" customHeight="1"/>
    <row r="1043562" ht="10.5" customHeight="1"/>
    <row r="1043563" ht="10.5" customHeight="1"/>
    <row r="1043564" ht="10.5" customHeight="1"/>
    <row r="1043565" ht="10.5" customHeight="1"/>
    <row r="1043566" ht="10.5" customHeight="1"/>
    <row r="1043567" ht="10.5" customHeight="1"/>
    <row r="1043568" ht="10.5" customHeight="1"/>
    <row r="1043569" ht="10.5" customHeight="1"/>
    <row r="1043570" ht="10.5" customHeight="1"/>
    <row r="1043571" ht="10.5" customHeight="1"/>
    <row r="1043572" ht="10.5" customHeight="1"/>
    <row r="1043573" ht="10.5" customHeight="1"/>
    <row r="1043574" ht="10.5" customHeight="1"/>
    <row r="1043575" ht="10.5" customHeight="1"/>
    <row r="1043576" ht="10.5" customHeight="1"/>
    <row r="1043577" ht="10.5" customHeight="1"/>
    <row r="1043578" ht="10.5" customHeight="1"/>
    <row r="1043579" ht="10.5" customHeight="1"/>
    <row r="1043580" ht="10.5" customHeight="1"/>
    <row r="1043581" ht="10.5" customHeight="1"/>
    <row r="1043582" ht="10.5" customHeight="1"/>
    <row r="1043583" ht="10.5" customHeight="1"/>
    <row r="1043584" ht="10.5" customHeight="1"/>
    <row r="1043585" ht="10.5" customHeight="1"/>
    <row r="1043586" ht="10.5" customHeight="1"/>
    <row r="1043587" ht="10.5" customHeight="1"/>
    <row r="1043588" ht="10.5" customHeight="1"/>
    <row r="1043589" ht="10.5" customHeight="1"/>
    <row r="1043590" ht="10.5" customHeight="1"/>
    <row r="1043591" ht="10.5" customHeight="1"/>
    <row r="1043592" ht="10.5" customHeight="1"/>
    <row r="1043593" ht="10.5" customHeight="1"/>
    <row r="1043594" ht="10.5" customHeight="1"/>
    <row r="1043595" ht="10.5" customHeight="1"/>
    <row r="1043596" ht="10.5" customHeight="1"/>
    <row r="1043597" ht="10.5" customHeight="1"/>
    <row r="1043598" ht="10.5" customHeight="1"/>
    <row r="1043599" ht="10.5" customHeight="1"/>
    <row r="1043600" ht="10.5" customHeight="1"/>
    <row r="1043601" ht="10.5" customHeight="1"/>
    <row r="1043602" ht="10.5" customHeight="1"/>
    <row r="1043603" ht="10.5" customHeight="1"/>
    <row r="1043604" ht="10.5" customHeight="1"/>
    <row r="1043605" ht="10.5" customHeight="1"/>
    <row r="1043606" ht="10.5" customHeight="1"/>
    <row r="1043607" ht="10.5" customHeight="1"/>
    <row r="1043608" ht="10.5" customHeight="1"/>
    <row r="1043609" ht="10.5" customHeight="1"/>
    <row r="1043610" ht="10.5" customHeight="1"/>
    <row r="1043611" ht="10.5" customHeight="1"/>
    <row r="1043612" ht="10.5" customHeight="1"/>
    <row r="1043613" ht="10.5" customHeight="1"/>
    <row r="1043614" ht="10.5" customHeight="1"/>
    <row r="1043615" ht="10.5" customHeight="1"/>
    <row r="1043616" ht="10.5" customHeight="1"/>
    <row r="1043617" ht="10.5" customHeight="1"/>
    <row r="1043618" ht="10.5" customHeight="1"/>
    <row r="1043619" ht="10.5" customHeight="1"/>
    <row r="1043620" ht="10.5" customHeight="1"/>
    <row r="1043621" ht="10.5" customHeight="1"/>
    <row r="1043622" ht="10.5" customHeight="1"/>
    <row r="1043623" ht="10.5" customHeight="1"/>
    <row r="1043624" ht="10.5" customHeight="1"/>
    <row r="1043625" ht="10.5" customHeight="1"/>
    <row r="1043626" ht="10.5" customHeight="1"/>
    <row r="1043627" ht="10.5" customHeight="1"/>
    <row r="1043628" ht="10.5" customHeight="1"/>
    <row r="1043629" ht="10.5" customHeight="1"/>
    <row r="1043630" ht="10.5" customHeight="1"/>
    <row r="1043631" ht="10.5" customHeight="1"/>
    <row r="1043632" ht="10.5" customHeight="1"/>
    <row r="1043633" ht="10.5" customHeight="1"/>
    <row r="1043634" ht="10.5" customHeight="1"/>
    <row r="1043635" ht="10.5" customHeight="1"/>
    <row r="1043636" ht="10.5" customHeight="1"/>
    <row r="1043637" ht="10.5" customHeight="1"/>
    <row r="1043638" ht="10.5" customHeight="1"/>
    <row r="1043639" ht="10.5" customHeight="1"/>
    <row r="1043640" ht="10.5" customHeight="1"/>
    <row r="1043641" ht="10.5" customHeight="1"/>
    <row r="1043642" ht="10.5" customHeight="1"/>
    <row r="1043643" ht="10.5" customHeight="1"/>
    <row r="1043644" ht="10.5" customHeight="1"/>
    <row r="1043645" ht="10.5" customHeight="1"/>
    <row r="1043646" ht="10.5" customHeight="1"/>
    <row r="1043647" ht="10.5" customHeight="1"/>
    <row r="1043648" ht="10.5" customHeight="1"/>
    <row r="1043649" ht="10.5" customHeight="1"/>
    <row r="1043650" ht="10.5" customHeight="1"/>
    <row r="1043651" ht="10.5" customHeight="1"/>
    <row r="1043652" ht="10.5" customHeight="1"/>
    <row r="1043653" ht="10.5" customHeight="1"/>
    <row r="1043654" ht="10.5" customHeight="1"/>
    <row r="1043655" ht="10.5" customHeight="1"/>
    <row r="1043656" ht="10.5" customHeight="1"/>
    <row r="1043657" ht="10.5" customHeight="1"/>
    <row r="1043658" ht="10.5" customHeight="1"/>
    <row r="1043659" ht="10.5" customHeight="1"/>
    <row r="1043660" ht="10.5" customHeight="1"/>
    <row r="1043661" ht="10.5" customHeight="1"/>
    <row r="1043662" ht="10.5" customHeight="1"/>
    <row r="1043663" ht="10.5" customHeight="1"/>
    <row r="1043664" ht="10.5" customHeight="1"/>
    <row r="1043665" ht="10.5" customHeight="1"/>
    <row r="1043666" ht="10.5" customHeight="1"/>
    <row r="1043667" ht="10.5" customHeight="1"/>
    <row r="1043668" ht="10.5" customHeight="1"/>
    <row r="1043669" ht="10.5" customHeight="1"/>
    <row r="1043670" ht="10.5" customHeight="1"/>
    <row r="1043671" ht="10.5" customHeight="1"/>
    <row r="1043672" ht="10.5" customHeight="1"/>
    <row r="1043673" ht="10.5" customHeight="1"/>
    <row r="1043674" ht="10.5" customHeight="1"/>
    <row r="1043675" ht="10.5" customHeight="1"/>
    <row r="1043676" ht="10.5" customHeight="1"/>
    <row r="1043677" ht="10.5" customHeight="1"/>
    <row r="1043678" ht="10.5" customHeight="1"/>
    <row r="1043679" ht="10.5" customHeight="1"/>
    <row r="1043680" ht="10.5" customHeight="1"/>
    <row r="1043681" ht="10.5" customHeight="1"/>
    <row r="1043682" ht="10.5" customHeight="1"/>
    <row r="1043683" ht="10.5" customHeight="1"/>
    <row r="1043684" ht="10.5" customHeight="1"/>
    <row r="1043685" ht="10.5" customHeight="1"/>
    <row r="1043686" ht="10.5" customHeight="1"/>
    <row r="1043687" ht="10.5" customHeight="1"/>
    <row r="1043688" ht="10.5" customHeight="1"/>
    <row r="1043689" ht="10.5" customHeight="1"/>
    <row r="1043690" ht="10.5" customHeight="1"/>
    <row r="1043691" ht="10.5" customHeight="1"/>
    <row r="1043692" ht="10.5" customHeight="1"/>
    <row r="1043693" ht="10.5" customHeight="1"/>
    <row r="1043694" ht="10.5" customHeight="1"/>
    <row r="1043695" ht="10.5" customHeight="1"/>
    <row r="1043696" ht="10.5" customHeight="1"/>
    <row r="1043697" ht="10.5" customHeight="1"/>
    <row r="1043698" ht="10.5" customHeight="1"/>
    <row r="1043699" ht="10.5" customHeight="1"/>
    <row r="1043700" ht="10.5" customHeight="1"/>
    <row r="1043701" ht="10.5" customHeight="1"/>
    <row r="1043702" ht="10.5" customHeight="1"/>
    <row r="1043703" ht="10.5" customHeight="1"/>
    <row r="1043704" ht="10.5" customHeight="1"/>
    <row r="1043705" ht="10.5" customHeight="1"/>
    <row r="1043706" ht="10.5" customHeight="1"/>
    <row r="1043707" ht="10.5" customHeight="1"/>
    <row r="1043708" ht="10.5" customHeight="1"/>
    <row r="1043709" ht="10.5" customHeight="1"/>
    <row r="1043710" ht="10.5" customHeight="1"/>
    <row r="1043711" ht="10.5" customHeight="1"/>
    <row r="1043712" ht="10.5" customHeight="1"/>
    <row r="1043713" ht="10.5" customHeight="1"/>
    <row r="1043714" ht="10.5" customHeight="1"/>
    <row r="1043715" ht="10.5" customHeight="1"/>
    <row r="1043716" ht="10.5" customHeight="1"/>
    <row r="1043717" ht="10.5" customHeight="1"/>
    <row r="1043718" ht="10.5" customHeight="1"/>
    <row r="1043719" ht="10.5" customHeight="1"/>
    <row r="1043720" ht="10.5" customHeight="1"/>
    <row r="1043721" ht="10.5" customHeight="1"/>
    <row r="1043722" ht="10.5" customHeight="1"/>
    <row r="1043723" ht="10.5" customHeight="1"/>
    <row r="1043724" ht="10.5" customHeight="1"/>
    <row r="1043725" ht="10.5" customHeight="1"/>
    <row r="1043726" ht="10.5" customHeight="1"/>
    <row r="1043727" ht="10.5" customHeight="1"/>
    <row r="1043728" ht="10.5" customHeight="1"/>
    <row r="1043729" ht="10.5" customHeight="1"/>
    <row r="1043730" ht="10.5" customHeight="1"/>
    <row r="1043731" ht="10.5" customHeight="1"/>
    <row r="1043732" ht="10.5" customHeight="1"/>
    <row r="1043733" ht="10.5" customHeight="1"/>
    <row r="1043734" ht="10.5" customHeight="1"/>
    <row r="1043735" ht="10.5" customHeight="1"/>
    <row r="1043736" ht="10.5" customHeight="1"/>
    <row r="1043737" ht="10.5" customHeight="1"/>
    <row r="1043738" ht="10.5" customHeight="1"/>
    <row r="1043739" ht="10.5" customHeight="1"/>
    <row r="1043740" ht="10.5" customHeight="1"/>
    <row r="1043741" ht="10.5" customHeight="1"/>
    <row r="1043742" ht="10.5" customHeight="1"/>
    <row r="1043743" ht="10.5" customHeight="1"/>
    <row r="1043744" ht="10.5" customHeight="1"/>
    <row r="1043745" ht="10.5" customHeight="1"/>
    <row r="1043746" ht="10.5" customHeight="1"/>
    <row r="1043747" ht="10.5" customHeight="1"/>
    <row r="1043748" ht="10.5" customHeight="1"/>
    <row r="1043749" ht="10.5" customHeight="1"/>
    <row r="1043750" ht="10.5" customHeight="1"/>
    <row r="1043751" ht="10.5" customHeight="1"/>
    <row r="1043752" ht="10.5" customHeight="1"/>
    <row r="1043753" ht="10.5" customHeight="1"/>
    <row r="1043754" ht="10.5" customHeight="1"/>
    <row r="1043755" ht="10.5" customHeight="1"/>
    <row r="1043756" ht="10.5" customHeight="1"/>
    <row r="1043757" ht="10.5" customHeight="1"/>
    <row r="1043758" ht="10.5" customHeight="1"/>
    <row r="1043759" ht="10.5" customHeight="1"/>
    <row r="1043760" ht="10.5" customHeight="1"/>
    <row r="1043761" ht="10.5" customHeight="1"/>
    <row r="1043762" ht="10.5" customHeight="1"/>
    <row r="1043763" ht="10.5" customHeight="1"/>
    <row r="1043764" ht="10.5" customHeight="1"/>
    <row r="1043765" ht="10.5" customHeight="1"/>
    <row r="1043766" ht="10.5" customHeight="1"/>
    <row r="1043767" ht="10.5" customHeight="1"/>
    <row r="1043768" ht="10.5" customHeight="1"/>
    <row r="1043769" ht="10.5" customHeight="1"/>
    <row r="1043770" ht="10.5" customHeight="1"/>
    <row r="1043771" ht="10.5" customHeight="1"/>
    <row r="1043772" ht="10.5" customHeight="1"/>
    <row r="1043773" ht="10.5" customHeight="1"/>
    <row r="1043774" ht="10.5" customHeight="1"/>
    <row r="1043775" ht="10.5" customHeight="1"/>
    <row r="1043776" ht="10.5" customHeight="1"/>
    <row r="1043777" ht="10.5" customHeight="1"/>
    <row r="1043778" ht="10.5" customHeight="1"/>
    <row r="1043779" ht="10.5" customHeight="1"/>
    <row r="1043780" ht="10.5" customHeight="1"/>
    <row r="1043781" ht="10.5" customHeight="1"/>
    <row r="1043782" ht="10.5" customHeight="1"/>
    <row r="1043783" ht="10.5" customHeight="1"/>
    <row r="1043784" ht="10.5" customHeight="1"/>
    <row r="1043785" ht="10.5" customHeight="1"/>
    <row r="1043786" ht="10.5" customHeight="1"/>
    <row r="1043787" ht="10.5" customHeight="1"/>
    <row r="1043788" ht="10.5" customHeight="1"/>
    <row r="1043789" ht="10.5" customHeight="1"/>
    <row r="1043790" ht="10.5" customHeight="1"/>
    <row r="1043791" ht="10.5" customHeight="1"/>
    <row r="1043792" ht="10.5" customHeight="1"/>
    <row r="1043793" ht="10.5" customHeight="1"/>
    <row r="1043794" ht="10.5" customHeight="1"/>
    <row r="1043795" ht="10.5" customHeight="1"/>
    <row r="1043796" ht="10.5" customHeight="1"/>
    <row r="1043797" ht="10.5" customHeight="1"/>
    <row r="1043798" ht="10.5" customHeight="1"/>
    <row r="1043799" ht="10.5" customHeight="1"/>
    <row r="1043800" ht="10.5" customHeight="1"/>
    <row r="1043801" ht="10.5" customHeight="1"/>
    <row r="1043802" ht="10.5" customHeight="1"/>
    <row r="1043803" ht="10.5" customHeight="1"/>
    <row r="1043804" ht="10.5" customHeight="1"/>
    <row r="1043805" ht="10.5" customHeight="1"/>
    <row r="1043806" ht="10.5" customHeight="1"/>
    <row r="1043807" ht="10.5" customHeight="1"/>
    <row r="1043808" ht="10.5" customHeight="1"/>
    <row r="1043809" ht="10.5" customHeight="1"/>
    <row r="1043810" ht="10.5" customHeight="1"/>
    <row r="1043811" ht="10.5" customHeight="1"/>
    <row r="1043812" ht="10.5" customHeight="1"/>
    <row r="1043813" ht="10.5" customHeight="1"/>
    <row r="1043814" ht="10.5" customHeight="1"/>
    <row r="1043815" ht="10.5" customHeight="1"/>
    <row r="1043816" ht="10.5" customHeight="1"/>
    <row r="1043817" ht="10.5" customHeight="1"/>
    <row r="1043818" ht="10.5" customHeight="1"/>
    <row r="1043819" ht="10.5" customHeight="1"/>
    <row r="1043820" ht="10.5" customHeight="1"/>
    <row r="1043821" ht="10.5" customHeight="1"/>
    <row r="1043822" ht="10.5" customHeight="1"/>
    <row r="1043823" ht="10.5" customHeight="1"/>
    <row r="1043824" ht="10.5" customHeight="1"/>
    <row r="1043825" ht="10.5" customHeight="1"/>
    <row r="1043826" ht="10.5" customHeight="1"/>
    <row r="1043827" ht="10.5" customHeight="1"/>
    <row r="1043828" ht="10.5" customHeight="1"/>
    <row r="1043829" ht="10.5" customHeight="1"/>
    <row r="1043830" ht="10.5" customHeight="1"/>
    <row r="1043831" ht="10.5" customHeight="1"/>
    <row r="1043832" ht="10.5" customHeight="1"/>
    <row r="1043833" ht="10.5" customHeight="1"/>
    <row r="1043834" ht="10.5" customHeight="1"/>
    <row r="1043835" ht="10.5" customHeight="1"/>
    <row r="1043836" ht="10.5" customHeight="1"/>
    <row r="1043837" ht="10.5" customHeight="1"/>
    <row r="1043838" ht="10.5" customHeight="1"/>
    <row r="1043839" ht="10.5" customHeight="1"/>
    <row r="1043840" ht="10.5" customHeight="1"/>
    <row r="1043841" ht="10.5" customHeight="1"/>
    <row r="1043842" ht="10.5" customHeight="1"/>
    <row r="1043843" ht="10.5" customHeight="1"/>
    <row r="1043844" ht="10.5" customHeight="1"/>
    <row r="1043845" ht="10.5" customHeight="1"/>
    <row r="1043846" ht="10.5" customHeight="1"/>
    <row r="1043847" ht="10.5" customHeight="1"/>
    <row r="1043848" ht="10.5" customHeight="1"/>
    <row r="1043849" ht="10.5" customHeight="1"/>
    <row r="1043850" ht="10.5" customHeight="1"/>
    <row r="1043851" ht="10.5" customHeight="1"/>
    <row r="1043852" ht="10.5" customHeight="1"/>
    <row r="1043853" ht="10.5" customHeight="1"/>
    <row r="1043854" ht="10.5" customHeight="1"/>
    <row r="1043855" ht="10.5" customHeight="1"/>
    <row r="1043856" ht="10.5" customHeight="1"/>
    <row r="1043857" ht="10.5" customHeight="1"/>
    <row r="1043858" ht="10.5" customHeight="1"/>
    <row r="1043859" ht="10.5" customHeight="1"/>
    <row r="1043860" ht="10.5" customHeight="1"/>
    <row r="1043861" ht="10.5" customHeight="1"/>
    <row r="1043862" ht="10.5" customHeight="1"/>
    <row r="1043863" ht="10.5" customHeight="1"/>
    <row r="1043864" ht="10.5" customHeight="1"/>
    <row r="1043865" ht="10.5" customHeight="1"/>
    <row r="1043866" ht="10.5" customHeight="1"/>
    <row r="1043867" ht="10.5" customHeight="1"/>
    <row r="1043868" ht="10.5" customHeight="1"/>
    <row r="1043869" ht="10.5" customHeight="1"/>
    <row r="1043870" ht="10.5" customHeight="1"/>
    <row r="1043871" ht="10.5" customHeight="1"/>
    <row r="1043872" ht="10.5" customHeight="1"/>
    <row r="1043873" ht="10.5" customHeight="1"/>
    <row r="1043874" ht="10.5" customHeight="1"/>
    <row r="1043875" ht="10.5" customHeight="1"/>
    <row r="1043876" ht="10.5" customHeight="1"/>
    <row r="1043877" ht="10.5" customHeight="1"/>
    <row r="1043878" ht="10.5" customHeight="1"/>
    <row r="1043879" ht="10.5" customHeight="1"/>
    <row r="1043880" ht="10.5" customHeight="1"/>
    <row r="1043881" ht="10.5" customHeight="1"/>
    <row r="1043882" ht="10.5" customHeight="1"/>
    <row r="1043883" ht="10.5" customHeight="1"/>
    <row r="1043884" ht="10.5" customHeight="1"/>
    <row r="1043885" ht="10.5" customHeight="1"/>
    <row r="1043886" ht="10.5" customHeight="1"/>
    <row r="1043887" ht="10.5" customHeight="1"/>
    <row r="1043888" ht="10.5" customHeight="1"/>
    <row r="1043889" ht="10.5" customHeight="1"/>
    <row r="1043890" ht="10.5" customHeight="1"/>
    <row r="1043891" ht="10.5" customHeight="1"/>
    <row r="1043892" ht="10.5" customHeight="1"/>
    <row r="1043893" ht="10.5" customHeight="1"/>
    <row r="1043894" ht="10.5" customHeight="1"/>
    <row r="1043895" ht="10.5" customHeight="1"/>
    <row r="1043896" ht="10.5" customHeight="1"/>
    <row r="1043897" ht="10.5" customHeight="1"/>
    <row r="1043898" ht="10.5" customHeight="1"/>
    <row r="1043899" ht="10.5" customHeight="1"/>
    <row r="1043900" ht="10.5" customHeight="1"/>
    <row r="1043901" ht="10.5" customHeight="1"/>
    <row r="1043902" ht="10.5" customHeight="1"/>
    <row r="1043903" ht="10.5" customHeight="1"/>
    <row r="1043904" ht="10.5" customHeight="1"/>
    <row r="1043905" ht="10.5" customHeight="1"/>
    <row r="1043906" ht="10.5" customHeight="1"/>
    <row r="1043907" ht="10.5" customHeight="1"/>
    <row r="1043908" ht="10.5" customHeight="1"/>
    <row r="1043909" ht="10.5" customHeight="1"/>
    <row r="1043910" ht="10.5" customHeight="1"/>
    <row r="1043911" ht="10.5" customHeight="1"/>
    <row r="1043912" ht="10.5" customHeight="1"/>
    <row r="1043913" ht="10.5" customHeight="1"/>
    <row r="1043914" ht="10.5" customHeight="1"/>
    <row r="1043915" ht="10.5" customHeight="1"/>
    <row r="1043916" ht="10.5" customHeight="1"/>
    <row r="1043917" ht="10.5" customHeight="1"/>
    <row r="1043918" ht="10.5" customHeight="1"/>
    <row r="1043919" ht="10.5" customHeight="1"/>
    <row r="1043920" ht="10.5" customHeight="1"/>
    <row r="1043921" ht="10.5" customHeight="1"/>
    <row r="1043922" ht="10.5" customHeight="1"/>
    <row r="1043923" ht="10.5" customHeight="1"/>
    <row r="1043924" ht="10.5" customHeight="1"/>
    <row r="1043925" ht="10.5" customHeight="1"/>
    <row r="1043926" ht="10.5" customHeight="1"/>
    <row r="1043927" ht="10.5" customHeight="1"/>
    <row r="1043928" ht="10.5" customHeight="1"/>
    <row r="1043929" ht="10.5" customHeight="1"/>
    <row r="1043930" ht="10.5" customHeight="1"/>
    <row r="1043931" ht="10.5" customHeight="1"/>
    <row r="1043932" ht="10.5" customHeight="1"/>
    <row r="1043933" ht="10.5" customHeight="1"/>
    <row r="1043934" ht="10.5" customHeight="1"/>
    <row r="1043935" ht="10.5" customHeight="1"/>
    <row r="1043936" ht="10.5" customHeight="1"/>
    <row r="1043937" ht="10.5" customHeight="1"/>
    <row r="1043938" ht="10.5" customHeight="1"/>
    <row r="1043939" ht="10.5" customHeight="1"/>
    <row r="1043940" ht="10.5" customHeight="1"/>
    <row r="1043941" ht="10.5" customHeight="1"/>
    <row r="1043942" ht="10.5" customHeight="1"/>
    <row r="1043943" ht="10.5" customHeight="1"/>
    <row r="1043944" ht="10.5" customHeight="1"/>
    <row r="1043945" ht="10.5" customHeight="1"/>
    <row r="1043946" ht="10.5" customHeight="1"/>
    <row r="1043947" ht="10.5" customHeight="1"/>
    <row r="1043948" ht="10.5" customHeight="1"/>
    <row r="1043949" ht="10.5" customHeight="1"/>
    <row r="1043950" ht="10.5" customHeight="1"/>
    <row r="1043951" ht="10.5" customHeight="1"/>
    <row r="1043952" ht="10.5" customHeight="1"/>
    <row r="1043953" ht="10.5" customHeight="1"/>
    <row r="1043954" ht="10.5" customHeight="1"/>
    <row r="1043955" ht="10.5" customHeight="1"/>
    <row r="1043956" ht="10.5" customHeight="1"/>
    <row r="1043957" ht="10.5" customHeight="1"/>
    <row r="1043958" ht="10.5" customHeight="1"/>
    <row r="1043959" ht="10.5" customHeight="1"/>
    <row r="1043960" ht="10.5" customHeight="1"/>
    <row r="1043961" ht="10.5" customHeight="1"/>
    <row r="1043962" ht="10.5" customHeight="1"/>
    <row r="1043963" ht="10.5" customHeight="1"/>
    <row r="1043964" ht="10.5" customHeight="1"/>
    <row r="1043965" ht="10.5" customHeight="1"/>
    <row r="1043966" ht="10.5" customHeight="1"/>
    <row r="1043967" ht="10.5" customHeight="1"/>
    <row r="1043968" ht="10.5" customHeight="1"/>
    <row r="1043969" ht="10.5" customHeight="1"/>
    <row r="1043970" ht="10.5" customHeight="1"/>
    <row r="1043971" ht="10.5" customHeight="1"/>
    <row r="1043972" ht="10.5" customHeight="1"/>
    <row r="1043973" ht="10.5" customHeight="1"/>
    <row r="1043974" ht="10.5" customHeight="1"/>
    <row r="1043975" ht="10.5" customHeight="1"/>
    <row r="1043976" ht="10.5" customHeight="1"/>
    <row r="1043977" ht="10.5" customHeight="1"/>
    <row r="1043978" ht="10.5" customHeight="1"/>
    <row r="1043979" ht="10.5" customHeight="1"/>
    <row r="1043980" ht="10.5" customHeight="1"/>
    <row r="1043981" ht="10.5" customHeight="1"/>
    <row r="1043982" ht="10.5" customHeight="1"/>
    <row r="1043983" ht="10.5" customHeight="1"/>
    <row r="1043984" ht="10.5" customHeight="1"/>
    <row r="1043985" ht="10.5" customHeight="1"/>
    <row r="1043986" ht="10.5" customHeight="1"/>
    <row r="1043987" ht="10.5" customHeight="1"/>
    <row r="1043988" ht="10.5" customHeight="1"/>
    <row r="1043989" ht="10.5" customHeight="1"/>
    <row r="1043990" ht="10.5" customHeight="1"/>
    <row r="1043991" ht="10.5" customHeight="1"/>
    <row r="1043992" ht="10.5" customHeight="1"/>
    <row r="1043993" ht="10.5" customHeight="1"/>
    <row r="1043994" ht="10.5" customHeight="1"/>
    <row r="1043995" ht="10.5" customHeight="1"/>
    <row r="1043996" ht="10.5" customHeight="1"/>
    <row r="1043997" ht="10.5" customHeight="1"/>
    <row r="1043998" ht="10.5" customHeight="1"/>
    <row r="1043999" ht="10.5" customHeight="1"/>
    <row r="1044000" ht="10.5" customHeight="1"/>
    <row r="1044001" ht="10.5" customHeight="1"/>
    <row r="1044002" ht="10.5" customHeight="1"/>
    <row r="1044003" ht="10.5" customHeight="1"/>
    <row r="1044004" ht="10.5" customHeight="1"/>
    <row r="1044005" ht="10.5" customHeight="1"/>
    <row r="1044006" ht="10.5" customHeight="1"/>
    <row r="1044007" ht="10.5" customHeight="1"/>
    <row r="1044008" ht="10.5" customHeight="1"/>
    <row r="1044009" ht="10.5" customHeight="1"/>
    <row r="1044010" ht="10.5" customHeight="1"/>
    <row r="1044011" ht="10.5" customHeight="1"/>
    <row r="1044012" ht="10.5" customHeight="1"/>
    <row r="1044013" ht="10.5" customHeight="1"/>
    <row r="1044014" ht="10.5" customHeight="1"/>
    <row r="1044015" ht="10.5" customHeight="1"/>
    <row r="1044016" ht="10.5" customHeight="1"/>
    <row r="1044017" ht="10.5" customHeight="1"/>
    <row r="1044018" ht="10.5" customHeight="1"/>
    <row r="1044019" ht="10.5" customHeight="1"/>
    <row r="1044020" ht="10.5" customHeight="1"/>
    <row r="1044021" ht="10.5" customHeight="1"/>
    <row r="1044022" ht="10.5" customHeight="1"/>
    <row r="1044023" ht="10.5" customHeight="1"/>
    <row r="1044024" ht="10.5" customHeight="1"/>
    <row r="1044025" ht="10.5" customHeight="1"/>
    <row r="1044026" ht="10.5" customHeight="1"/>
    <row r="1044027" ht="10.5" customHeight="1"/>
    <row r="1044028" ht="10.5" customHeight="1"/>
    <row r="1044029" ht="10.5" customHeight="1"/>
    <row r="1044030" ht="10.5" customHeight="1"/>
    <row r="1044031" ht="10.5" customHeight="1"/>
    <row r="1044032" ht="10.5" customHeight="1"/>
    <row r="1044033" ht="10.5" customHeight="1"/>
    <row r="1044034" ht="10.5" customHeight="1"/>
    <row r="1044035" ht="10.5" customHeight="1"/>
    <row r="1044036" ht="10.5" customHeight="1"/>
    <row r="1044037" ht="10.5" customHeight="1"/>
    <row r="1044038" ht="10.5" customHeight="1"/>
    <row r="1044039" ht="10.5" customHeight="1"/>
    <row r="1044040" ht="10.5" customHeight="1"/>
    <row r="1044041" ht="10.5" customHeight="1"/>
    <row r="1044042" ht="10.5" customHeight="1"/>
    <row r="1044043" ht="10.5" customHeight="1"/>
    <row r="1044044" ht="10.5" customHeight="1"/>
    <row r="1044045" ht="10.5" customHeight="1"/>
    <row r="1044046" ht="10.5" customHeight="1"/>
    <row r="1044047" ht="10.5" customHeight="1"/>
    <row r="1044048" ht="10.5" customHeight="1"/>
    <row r="1044049" ht="10.5" customHeight="1"/>
    <row r="1044050" ht="10.5" customHeight="1"/>
    <row r="1044051" ht="10.5" customHeight="1"/>
    <row r="1044052" ht="10.5" customHeight="1"/>
    <row r="1044053" ht="10.5" customHeight="1"/>
    <row r="1044054" ht="10.5" customHeight="1"/>
    <row r="1044055" ht="10.5" customHeight="1"/>
    <row r="1044056" ht="10.5" customHeight="1"/>
    <row r="1044057" ht="10.5" customHeight="1"/>
    <row r="1044058" ht="10.5" customHeight="1"/>
    <row r="1044059" ht="10.5" customHeight="1"/>
    <row r="1044060" ht="10.5" customHeight="1"/>
    <row r="1044061" ht="10.5" customHeight="1"/>
    <row r="1044062" ht="10.5" customHeight="1"/>
    <row r="1044063" ht="10.5" customHeight="1"/>
    <row r="1044064" ht="10.5" customHeight="1"/>
    <row r="1044065" ht="10.5" customHeight="1"/>
    <row r="1044066" ht="10.5" customHeight="1"/>
    <row r="1044067" ht="10.5" customHeight="1"/>
    <row r="1044068" ht="10.5" customHeight="1"/>
    <row r="1044069" ht="10.5" customHeight="1"/>
    <row r="1044070" ht="10.5" customHeight="1"/>
    <row r="1044071" ht="10.5" customHeight="1"/>
    <row r="1044072" ht="10.5" customHeight="1"/>
    <row r="1044073" ht="10.5" customHeight="1"/>
    <row r="1044074" ht="10.5" customHeight="1"/>
    <row r="1044075" ht="10.5" customHeight="1"/>
    <row r="1044076" ht="10.5" customHeight="1"/>
    <row r="1044077" ht="10.5" customHeight="1"/>
    <row r="1044078" ht="10.5" customHeight="1"/>
    <row r="1044079" ht="10.5" customHeight="1"/>
    <row r="1044080" ht="10.5" customHeight="1"/>
    <row r="1044081" ht="10.5" customHeight="1"/>
    <row r="1044082" ht="10.5" customHeight="1"/>
    <row r="1044083" ht="10.5" customHeight="1"/>
    <row r="1044084" ht="10.5" customHeight="1"/>
    <row r="1044085" ht="10.5" customHeight="1"/>
    <row r="1044086" ht="10.5" customHeight="1"/>
    <row r="1044087" ht="10.5" customHeight="1"/>
    <row r="1044088" ht="10.5" customHeight="1"/>
    <row r="1044089" ht="10.5" customHeight="1"/>
    <row r="1044090" ht="10.5" customHeight="1"/>
    <row r="1044091" ht="10.5" customHeight="1"/>
    <row r="1044092" ht="10.5" customHeight="1"/>
    <row r="1044093" ht="10.5" customHeight="1"/>
    <row r="1044094" ht="10.5" customHeight="1"/>
    <row r="1044095" ht="10.5" customHeight="1"/>
    <row r="1044096" ht="10.5" customHeight="1"/>
    <row r="1044097" ht="10.5" customHeight="1"/>
    <row r="1044098" ht="10.5" customHeight="1"/>
    <row r="1044099" ht="10.5" customHeight="1"/>
    <row r="1044100" ht="10.5" customHeight="1"/>
    <row r="1044101" ht="10.5" customHeight="1"/>
    <row r="1044102" ht="10.5" customHeight="1"/>
    <row r="1044103" ht="10.5" customHeight="1"/>
    <row r="1044104" ht="10.5" customHeight="1"/>
    <row r="1044105" ht="10.5" customHeight="1"/>
    <row r="1044106" ht="10.5" customHeight="1"/>
    <row r="1044107" ht="10.5" customHeight="1"/>
    <row r="1044108" ht="10.5" customHeight="1"/>
    <row r="1044109" ht="10.5" customHeight="1"/>
    <row r="1044110" ht="10.5" customHeight="1"/>
    <row r="1044111" ht="10.5" customHeight="1"/>
    <row r="1044112" ht="10.5" customHeight="1"/>
    <row r="1044113" ht="10.5" customHeight="1"/>
    <row r="1044114" ht="10.5" customHeight="1"/>
    <row r="1044115" ht="10.5" customHeight="1"/>
    <row r="1044116" ht="10.5" customHeight="1"/>
    <row r="1044117" ht="10.5" customHeight="1"/>
    <row r="1044118" ht="10.5" customHeight="1"/>
    <row r="1044119" ht="10.5" customHeight="1"/>
    <row r="1044120" ht="10.5" customHeight="1"/>
    <row r="1044121" ht="10.5" customHeight="1"/>
    <row r="1044122" ht="10.5" customHeight="1"/>
    <row r="1044123" ht="10.5" customHeight="1"/>
    <row r="1044124" ht="10.5" customHeight="1"/>
    <row r="1044125" ht="10.5" customHeight="1"/>
    <row r="1044126" ht="10.5" customHeight="1"/>
    <row r="1044127" ht="10.5" customHeight="1"/>
    <row r="1044128" ht="10.5" customHeight="1"/>
    <row r="1044129" ht="10.5" customHeight="1"/>
    <row r="1044130" ht="10.5" customHeight="1"/>
    <row r="1044131" ht="10.5" customHeight="1"/>
    <row r="1044132" ht="10.5" customHeight="1"/>
    <row r="1044133" ht="10.5" customHeight="1"/>
    <row r="1044134" ht="10.5" customHeight="1"/>
    <row r="1044135" ht="10.5" customHeight="1"/>
    <row r="1044136" ht="10.5" customHeight="1"/>
    <row r="1044137" ht="10.5" customHeight="1"/>
    <row r="1044138" ht="10.5" customHeight="1"/>
    <row r="1044139" ht="10.5" customHeight="1"/>
    <row r="1044140" ht="10.5" customHeight="1"/>
    <row r="1044141" ht="10.5" customHeight="1"/>
    <row r="1044142" ht="10.5" customHeight="1"/>
    <row r="1044143" ht="10.5" customHeight="1"/>
    <row r="1044144" ht="10.5" customHeight="1"/>
    <row r="1044145" ht="10.5" customHeight="1"/>
    <row r="1044146" ht="10.5" customHeight="1"/>
    <row r="1044147" ht="10.5" customHeight="1"/>
    <row r="1044148" ht="10.5" customHeight="1"/>
    <row r="1044149" ht="10.5" customHeight="1"/>
    <row r="1044150" ht="10.5" customHeight="1"/>
    <row r="1044151" ht="10.5" customHeight="1"/>
    <row r="1044152" ht="10.5" customHeight="1"/>
    <row r="1044153" ht="10.5" customHeight="1"/>
    <row r="1044154" ht="10.5" customHeight="1"/>
    <row r="1044155" ht="10.5" customHeight="1"/>
    <row r="1044156" ht="10.5" customHeight="1"/>
    <row r="1044157" ht="10.5" customHeight="1"/>
    <row r="1044158" ht="10.5" customHeight="1"/>
    <row r="1044159" ht="10.5" customHeight="1"/>
    <row r="1044160" ht="10.5" customHeight="1"/>
    <row r="1044161" ht="10.5" customHeight="1"/>
    <row r="1044162" ht="10.5" customHeight="1"/>
    <row r="1044163" ht="10.5" customHeight="1"/>
    <row r="1044164" ht="10.5" customHeight="1"/>
    <row r="1044165" ht="10.5" customHeight="1"/>
    <row r="1044166" ht="10.5" customHeight="1"/>
    <row r="1044167" ht="10.5" customHeight="1"/>
    <row r="1044168" ht="10.5" customHeight="1"/>
    <row r="1044169" ht="10.5" customHeight="1"/>
    <row r="1044170" ht="10.5" customHeight="1"/>
    <row r="1044171" ht="10.5" customHeight="1"/>
    <row r="1044172" ht="10.5" customHeight="1"/>
    <row r="1044173" ht="10.5" customHeight="1"/>
    <row r="1044174" ht="10.5" customHeight="1"/>
    <row r="1044175" ht="10.5" customHeight="1"/>
    <row r="1044176" ht="10.5" customHeight="1"/>
    <row r="1044177" ht="10.5" customHeight="1"/>
    <row r="1044178" ht="10.5" customHeight="1"/>
    <row r="1044179" ht="10.5" customHeight="1"/>
    <row r="1044180" ht="10.5" customHeight="1"/>
    <row r="1044181" ht="10.5" customHeight="1"/>
    <row r="1044182" ht="10.5" customHeight="1"/>
    <row r="1044183" ht="10.5" customHeight="1"/>
    <row r="1044184" ht="10.5" customHeight="1"/>
    <row r="1044185" ht="10.5" customHeight="1"/>
    <row r="1044186" ht="10.5" customHeight="1"/>
    <row r="1044187" ht="10.5" customHeight="1"/>
    <row r="1044188" ht="10.5" customHeight="1"/>
    <row r="1044189" ht="10.5" customHeight="1"/>
    <row r="1044190" ht="10.5" customHeight="1"/>
    <row r="1044191" ht="10.5" customHeight="1"/>
    <row r="1044192" ht="10.5" customHeight="1"/>
    <row r="1044193" ht="10.5" customHeight="1"/>
    <row r="1044194" ht="10.5" customHeight="1"/>
    <row r="1044195" ht="10.5" customHeight="1"/>
    <row r="1044196" ht="10.5" customHeight="1"/>
    <row r="1044197" ht="10.5" customHeight="1"/>
    <row r="1044198" ht="10.5" customHeight="1"/>
    <row r="1044199" ht="10.5" customHeight="1"/>
    <row r="1044200" ht="10.5" customHeight="1"/>
    <row r="1044201" ht="10.5" customHeight="1"/>
    <row r="1044202" ht="10.5" customHeight="1"/>
    <row r="1044203" ht="10.5" customHeight="1"/>
    <row r="1044204" ht="10.5" customHeight="1"/>
    <row r="1044205" ht="10.5" customHeight="1"/>
    <row r="1044206" ht="10.5" customHeight="1"/>
    <row r="1044207" ht="10.5" customHeight="1"/>
    <row r="1044208" ht="10.5" customHeight="1"/>
    <row r="1044209" ht="10.5" customHeight="1"/>
    <row r="1044210" ht="10.5" customHeight="1"/>
    <row r="1044211" ht="10.5" customHeight="1"/>
    <row r="1044212" ht="10.5" customHeight="1"/>
    <row r="1044213" ht="10.5" customHeight="1"/>
    <row r="1044214" ht="10.5" customHeight="1"/>
    <row r="1044215" ht="10.5" customHeight="1"/>
    <row r="1044216" ht="10.5" customHeight="1"/>
    <row r="1044217" ht="10.5" customHeight="1"/>
    <row r="1044218" ht="10.5" customHeight="1"/>
    <row r="1044219" ht="10.5" customHeight="1"/>
    <row r="1044220" ht="10.5" customHeight="1"/>
    <row r="1044221" ht="10.5" customHeight="1"/>
    <row r="1044222" ht="10.5" customHeight="1"/>
    <row r="1044223" ht="10.5" customHeight="1"/>
    <row r="1044224" ht="10.5" customHeight="1"/>
    <row r="1044225" ht="10.5" customHeight="1"/>
    <row r="1044226" ht="10.5" customHeight="1"/>
    <row r="1044227" ht="10.5" customHeight="1"/>
    <row r="1044228" ht="10.5" customHeight="1"/>
    <row r="1044229" ht="10.5" customHeight="1"/>
    <row r="1044230" ht="10.5" customHeight="1"/>
    <row r="1044231" ht="10.5" customHeight="1"/>
    <row r="1044232" ht="10.5" customHeight="1"/>
    <row r="1044233" ht="10.5" customHeight="1"/>
    <row r="1044234" ht="10.5" customHeight="1"/>
    <row r="1044235" ht="10.5" customHeight="1"/>
    <row r="1044236" ht="10.5" customHeight="1"/>
    <row r="1044237" ht="10.5" customHeight="1"/>
    <row r="1044238" ht="10.5" customHeight="1"/>
    <row r="1044239" ht="10.5" customHeight="1"/>
    <row r="1044240" ht="10.5" customHeight="1"/>
    <row r="1044241" ht="10.5" customHeight="1"/>
    <row r="1044242" ht="10.5" customHeight="1"/>
    <row r="1044243" ht="10.5" customHeight="1"/>
    <row r="1044244" ht="10.5" customHeight="1"/>
    <row r="1044245" ht="10.5" customHeight="1"/>
    <row r="1044246" ht="10.5" customHeight="1"/>
    <row r="1044247" ht="10.5" customHeight="1"/>
    <row r="1044248" ht="10.5" customHeight="1"/>
    <row r="1044249" ht="10.5" customHeight="1"/>
    <row r="1044250" ht="10.5" customHeight="1"/>
    <row r="1044251" ht="10.5" customHeight="1"/>
    <row r="1044252" ht="10.5" customHeight="1"/>
    <row r="1044253" ht="10.5" customHeight="1"/>
    <row r="1044254" ht="10.5" customHeight="1"/>
    <row r="1044255" ht="10.5" customHeight="1"/>
    <row r="1044256" ht="10.5" customHeight="1"/>
    <row r="1044257" ht="10.5" customHeight="1"/>
    <row r="1044258" ht="10.5" customHeight="1"/>
    <row r="1044259" ht="10.5" customHeight="1"/>
    <row r="1044260" ht="10.5" customHeight="1"/>
    <row r="1044261" ht="10.5" customHeight="1"/>
    <row r="1044262" ht="10.5" customHeight="1"/>
    <row r="1044263" ht="10.5" customHeight="1"/>
    <row r="1044264" ht="10.5" customHeight="1"/>
    <row r="1044265" ht="10.5" customHeight="1"/>
    <row r="1044266" ht="10.5" customHeight="1"/>
    <row r="1044267" ht="10.5" customHeight="1"/>
    <row r="1044268" ht="10.5" customHeight="1"/>
    <row r="1044269" ht="10.5" customHeight="1"/>
    <row r="1044270" ht="10.5" customHeight="1"/>
    <row r="1044271" ht="10.5" customHeight="1"/>
    <row r="1044272" ht="10.5" customHeight="1"/>
    <row r="1044273" ht="10.5" customHeight="1"/>
    <row r="1044274" ht="10.5" customHeight="1"/>
    <row r="1044275" ht="10.5" customHeight="1"/>
    <row r="1044276" ht="10.5" customHeight="1"/>
    <row r="1044277" ht="10.5" customHeight="1"/>
    <row r="1044278" ht="10.5" customHeight="1"/>
    <row r="1044279" ht="10.5" customHeight="1"/>
    <row r="1044280" ht="10.5" customHeight="1"/>
    <row r="1044281" ht="10.5" customHeight="1"/>
    <row r="1044282" ht="10.5" customHeight="1"/>
    <row r="1044283" ht="10.5" customHeight="1"/>
    <row r="1044284" ht="10.5" customHeight="1"/>
    <row r="1044285" ht="10.5" customHeight="1"/>
    <row r="1044286" ht="10.5" customHeight="1"/>
    <row r="1044287" ht="10.5" customHeight="1"/>
    <row r="1044288" ht="10.5" customHeight="1"/>
    <row r="1044289" ht="10.5" customHeight="1"/>
    <row r="1044290" ht="10.5" customHeight="1"/>
    <row r="1044291" ht="10.5" customHeight="1"/>
    <row r="1044292" ht="10.5" customHeight="1"/>
    <row r="1044293" ht="10.5" customHeight="1"/>
    <row r="1044294" ht="10.5" customHeight="1"/>
    <row r="1044295" ht="10.5" customHeight="1"/>
    <row r="1044296" ht="10.5" customHeight="1"/>
    <row r="1044297" ht="10.5" customHeight="1"/>
    <row r="1044298" ht="10.5" customHeight="1"/>
    <row r="1044299" ht="10.5" customHeight="1"/>
    <row r="1044300" ht="10.5" customHeight="1"/>
    <row r="1044301" ht="10.5" customHeight="1"/>
    <row r="1044302" ht="10.5" customHeight="1"/>
    <row r="1044303" ht="10.5" customHeight="1"/>
    <row r="1044304" ht="10.5" customHeight="1"/>
    <row r="1044305" ht="10.5" customHeight="1"/>
    <row r="1044306" ht="10.5" customHeight="1"/>
    <row r="1044307" ht="10.5" customHeight="1"/>
    <row r="1044308" ht="10.5" customHeight="1"/>
    <row r="1044309" ht="10.5" customHeight="1"/>
    <row r="1044310" ht="10.5" customHeight="1"/>
    <row r="1044311" ht="10.5" customHeight="1"/>
    <row r="1044312" ht="10.5" customHeight="1"/>
    <row r="1044313" ht="10.5" customHeight="1"/>
    <row r="1044314" ht="10.5" customHeight="1"/>
    <row r="1044315" ht="10.5" customHeight="1"/>
    <row r="1044316" ht="10.5" customHeight="1"/>
    <row r="1044317" ht="10.5" customHeight="1"/>
    <row r="1044318" ht="10.5" customHeight="1"/>
    <row r="1044319" ht="10.5" customHeight="1"/>
    <row r="1044320" ht="10.5" customHeight="1"/>
    <row r="1044321" ht="10.5" customHeight="1"/>
    <row r="1044322" ht="10.5" customHeight="1"/>
    <row r="1044323" ht="10.5" customHeight="1"/>
    <row r="1044324" ht="10.5" customHeight="1"/>
    <row r="1044325" ht="10.5" customHeight="1"/>
    <row r="1044326" ht="10.5" customHeight="1"/>
    <row r="1044327" ht="10.5" customHeight="1"/>
    <row r="1044328" ht="10.5" customHeight="1"/>
    <row r="1044329" ht="10.5" customHeight="1"/>
    <row r="1044330" ht="10.5" customHeight="1"/>
    <row r="1044331" ht="10.5" customHeight="1"/>
    <row r="1044332" ht="10.5" customHeight="1"/>
    <row r="1044333" ht="10.5" customHeight="1"/>
    <row r="1044334" ht="10.5" customHeight="1"/>
    <row r="1044335" ht="10.5" customHeight="1"/>
    <row r="1044336" ht="10.5" customHeight="1"/>
    <row r="1044337" ht="10.5" customHeight="1"/>
    <row r="1044338" ht="10.5" customHeight="1"/>
    <row r="1044339" ht="10.5" customHeight="1"/>
    <row r="1044340" ht="10.5" customHeight="1"/>
    <row r="1044341" ht="10.5" customHeight="1"/>
    <row r="1044342" ht="10.5" customHeight="1"/>
    <row r="1044343" ht="10.5" customHeight="1"/>
    <row r="1044344" ht="10.5" customHeight="1"/>
    <row r="1044345" ht="10.5" customHeight="1"/>
    <row r="1044346" ht="10.5" customHeight="1"/>
    <row r="1044347" ht="10.5" customHeight="1"/>
    <row r="1044348" ht="10.5" customHeight="1"/>
    <row r="1044349" ht="10.5" customHeight="1"/>
    <row r="1044350" ht="10.5" customHeight="1"/>
    <row r="1044351" ht="10.5" customHeight="1"/>
    <row r="1044352" ht="10.5" customHeight="1"/>
    <row r="1044353" ht="10.5" customHeight="1"/>
    <row r="1044354" ht="10.5" customHeight="1"/>
    <row r="1044355" ht="10.5" customHeight="1"/>
    <row r="1044356" ht="10.5" customHeight="1"/>
    <row r="1044357" ht="10.5" customHeight="1"/>
    <row r="1044358" ht="10.5" customHeight="1"/>
    <row r="1044359" ht="10.5" customHeight="1"/>
    <row r="1044360" ht="10.5" customHeight="1"/>
    <row r="1044361" ht="10.5" customHeight="1"/>
    <row r="1044362" ht="10.5" customHeight="1"/>
    <row r="1044363" ht="10.5" customHeight="1"/>
    <row r="1044364" ht="10.5" customHeight="1"/>
    <row r="1044365" ht="10.5" customHeight="1"/>
    <row r="1044366" ht="10.5" customHeight="1"/>
    <row r="1044367" ht="10.5" customHeight="1"/>
    <row r="1044368" ht="10.5" customHeight="1"/>
    <row r="1044369" ht="10.5" customHeight="1"/>
    <row r="1044370" ht="10.5" customHeight="1"/>
    <row r="1044371" ht="10.5" customHeight="1"/>
    <row r="1044372" ht="10.5" customHeight="1"/>
    <row r="1044373" ht="10.5" customHeight="1"/>
    <row r="1044374" ht="10.5" customHeight="1"/>
    <row r="1044375" ht="10.5" customHeight="1"/>
    <row r="1044376" ht="10.5" customHeight="1"/>
    <row r="1044377" ht="10.5" customHeight="1"/>
    <row r="1044378" ht="10.5" customHeight="1"/>
    <row r="1044379" ht="10.5" customHeight="1"/>
    <row r="1044380" ht="10.5" customHeight="1"/>
    <row r="1044381" ht="10.5" customHeight="1"/>
    <row r="1044382" ht="10.5" customHeight="1"/>
    <row r="1044383" ht="10.5" customHeight="1"/>
    <row r="1044384" ht="10.5" customHeight="1"/>
    <row r="1044385" ht="10.5" customHeight="1"/>
    <row r="1044386" ht="10.5" customHeight="1"/>
    <row r="1044387" ht="10.5" customHeight="1"/>
    <row r="1044388" ht="10.5" customHeight="1"/>
    <row r="1044389" ht="10.5" customHeight="1"/>
    <row r="1044390" ht="10.5" customHeight="1"/>
    <row r="1044391" ht="10.5" customHeight="1"/>
    <row r="1044392" ht="10.5" customHeight="1"/>
    <row r="1044393" ht="10.5" customHeight="1"/>
    <row r="1044394" ht="10.5" customHeight="1"/>
    <row r="1044395" ht="10.5" customHeight="1"/>
    <row r="1044396" ht="10.5" customHeight="1"/>
    <row r="1044397" ht="10.5" customHeight="1"/>
    <row r="1044398" ht="10.5" customHeight="1"/>
    <row r="1044399" ht="10.5" customHeight="1"/>
    <row r="1044400" ht="10.5" customHeight="1"/>
    <row r="1044401" ht="10.5" customHeight="1"/>
    <row r="1044402" ht="10.5" customHeight="1"/>
    <row r="1044403" ht="10.5" customHeight="1"/>
    <row r="1044404" ht="10.5" customHeight="1"/>
    <row r="1044405" ht="10.5" customHeight="1"/>
    <row r="1044406" ht="10.5" customHeight="1"/>
    <row r="1044407" ht="10.5" customHeight="1"/>
    <row r="1044408" ht="10.5" customHeight="1"/>
    <row r="1044409" ht="10.5" customHeight="1"/>
    <row r="1044410" ht="10.5" customHeight="1"/>
    <row r="1044411" ht="10.5" customHeight="1"/>
    <row r="1044412" ht="10.5" customHeight="1"/>
    <row r="1044413" ht="10.5" customHeight="1"/>
    <row r="1044414" ht="10.5" customHeight="1"/>
    <row r="1044415" ht="10.5" customHeight="1"/>
    <row r="1044416" ht="10.5" customHeight="1"/>
    <row r="1044417" ht="10.5" customHeight="1"/>
    <row r="1044418" ht="10.5" customHeight="1"/>
    <row r="1044419" ht="10.5" customHeight="1"/>
    <row r="1044420" ht="10.5" customHeight="1"/>
    <row r="1044421" ht="10.5" customHeight="1"/>
    <row r="1044422" ht="10.5" customHeight="1"/>
    <row r="1044423" ht="10.5" customHeight="1"/>
    <row r="1044424" ht="10.5" customHeight="1"/>
    <row r="1044425" ht="10.5" customHeight="1"/>
    <row r="1044426" ht="10.5" customHeight="1"/>
    <row r="1044427" ht="10.5" customHeight="1"/>
    <row r="1044428" ht="10.5" customHeight="1"/>
    <row r="1044429" ht="10.5" customHeight="1"/>
    <row r="1044430" ht="10.5" customHeight="1"/>
    <row r="1044431" ht="10.5" customHeight="1"/>
    <row r="1044432" ht="10.5" customHeight="1"/>
    <row r="1044433" ht="10.5" customHeight="1"/>
    <row r="1044434" ht="10.5" customHeight="1"/>
    <row r="1044435" ht="10.5" customHeight="1"/>
    <row r="1044436" ht="10.5" customHeight="1"/>
    <row r="1044437" ht="10.5" customHeight="1"/>
    <row r="1044438" ht="10.5" customHeight="1"/>
    <row r="1044439" ht="10.5" customHeight="1"/>
    <row r="1044440" ht="10.5" customHeight="1"/>
    <row r="1044441" ht="10.5" customHeight="1"/>
    <row r="1044442" ht="10.5" customHeight="1"/>
    <row r="1044443" ht="10.5" customHeight="1"/>
    <row r="1044444" ht="10.5" customHeight="1"/>
    <row r="1044445" ht="10.5" customHeight="1"/>
    <row r="1044446" ht="10.5" customHeight="1"/>
    <row r="1044447" ht="10.5" customHeight="1"/>
    <row r="1044448" ht="10.5" customHeight="1"/>
    <row r="1044449" ht="10.5" customHeight="1"/>
    <row r="1044450" ht="10.5" customHeight="1"/>
    <row r="1044451" ht="10.5" customHeight="1"/>
    <row r="1044452" ht="10.5" customHeight="1"/>
    <row r="1044453" ht="10.5" customHeight="1"/>
    <row r="1044454" ht="10.5" customHeight="1"/>
    <row r="1044455" ht="10.5" customHeight="1"/>
    <row r="1044456" ht="10.5" customHeight="1"/>
    <row r="1044457" ht="10.5" customHeight="1"/>
    <row r="1044458" ht="10.5" customHeight="1"/>
    <row r="1044459" ht="10.5" customHeight="1"/>
    <row r="1044460" ht="10.5" customHeight="1"/>
    <row r="1044461" ht="10.5" customHeight="1"/>
    <row r="1044462" ht="10.5" customHeight="1"/>
    <row r="1044463" ht="10.5" customHeight="1"/>
    <row r="1044464" ht="10.5" customHeight="1"/>
    <row r="1044465" ht="10.5" customHeight="1"/>
    <row r="1044466" ht="10.5" customHeight="1"/>
    <row r="1044467" ht="10.5" customHeight="1"/>
    <row r="1044468" ht="10.5" customHeight="1"/>
    <row r="1044469" ht="10.5" customHeight="1"/>
    <row r="1044470" ht="10.5" customHeight="1"/>
    <row r="1044471" ht="10.5" customHeight="1"/>
    <row r="1044472" ht="10.5" customHeight="1"/>
    <row r="1044473" ht="10.5" customHeight="1"/>
    <row r="1044474" ht="10.5" customHeight="1"/>
    <row r="1044475" ht="10.5" customHeight="1"/>
    <row r="1044476" ht="10.5" customHeight="1"/>
    <row r="1044477" ht="10.5" customHeight="1"/>
    <row r="1044478" ht="10.5" customHeight="1"/>
    <row r="1044479" ht="10.5" customHeight="1"/>
    <row r="1044480" ht="10.5" customHeight="1"/>
    <row r="1044481" ht="10.5" customHeight="1"/>
    <row r="1044482" ht="10.5" customHeight="1"/>
    <row r="1044483" ht="10.5" customHeight="1"/>
    <row r="1044484" ht="10.5" customHeight="1"/>
    <row r="1044485" ht="10.5" customHeight="1"/>
    <row r="1044486" ht="10.5" customHeight="1"/>
    <row r="1044487" ht="10.5" customHeight="1"/>
    <row r="1044488" ht="10.5" customHeight="1"/>
    <row r="1044489" ht="10.5" customHeight="1"/>
    <row r="1044490" ht="10.5" customHeight="1"/>
    <row r="1044491" ht="10.5" customHeight="1"/>
    <row r="1044492" ht="10.5" customHeight="1"/>
    <row r="1044493" ht="10.5" customHeight="1"/>
    <row r="1044494" ht="10.5" customHeight="1"/>
    <row r="1044495" ht="10.5" customHeight="1"/>
    <row r="1044496" ht="10.5" customHeight="1"/>
    <row r="1044497" ht="10.5" customHeight="1"/>
    <row r="1044498" ht="10.5" customHeight="1"/>
    <row r="1044499" ht="10.5" customHeight="1"/>
    <row r="1044500" ht="10.5" customHeight="1"/>
    <row r="1044501" ht="10.5" customHeight="1"/>
    <row r="1044502" ht="10.5" customHeight="1"/>
    <row r="1044503" ht="10.5" customHeight="1"/>
    <row r="1044504" ht="10.5" customHeight="1"/>
    <row r="1044505" ht="10.5" customHeight="1"/>
    <row r="1044506" ht="10.5" customHeight="1"/>
    <row r="1044507" ht="10.5" customHeight="1"/>
    <row r="1044508" ht="10.5" customHeight="1"/>
    <row r="1044509" ht="10.5" customHeight="1"/>
    <row r="1044510" ht="10.5" customHeight="1"/>
    <row r="1044511" ht="10.5" customHeight="1"/>
    <row r="1044512" ht="10.5" customHeight="1"/>
    <row r="1044513" ht="10.5" customHeight="1"/>
    <row r="1044514" ht="10.5" customHeight="1"/>
    <row r="1044515" ht="10.5" customHeight="1"/>
    <row r="1044516" ht="10.5" customHeight="1"/>
    <row r="1044517" ht="10.5" customHeight="1"/>
    <row r="1044518" ht="10.5" customHeight="1"/>
    <row r="1044519" ht="10.5" customHeight="1"/>
    <row r="1044520" ht="10.5" customHeight="1"/>
    <row r="1044521" ht="10.5" customHeight="1"/>
    <row r="1044522" ht="10.5" customHeight="1"/>
    <row r="1044523" ht="10.5" customHeight="1"/>
    <row r="1044524" ht="10.5" customHeight="1"/>
    <row r="1044525" ht="10.5" customHeight="1"/>
    <row r="1044526" ht="10.5" customHeight="1"/>
    <row r="1044527" ht="10.5" customHeight="1"/>
    <row r="1044528" ht="10.5" customHeight="1"/>
    <row r="1044529" ht="10.5" customHeight="1"/>
    <row r="1044530" ht="10.5" customHeight="1"/>
    <row r="1044531" ht="10.5" customHeight="1"/>
    <row r="1044532" ht="10.5" customHeight="1"/>
    <row r="1044533" ht="10.5" customHeight="1"/>
    <row r="1044534" ht="10.5" customHeight="1"/>
    <row r="1044535" ht="10.5" customHeight="1"/>
    <row r="1044536" ht="10.5" customHeight="1"/>
    <row r="1044537" ht="10.5" customHeight="1"/>
    <row r="1044538" ht="10.5" customHeight="1"/>
    <row r="1044539" ht="10.5" customHeight="1"/>
    <row r="1044540" ht="10.5" customHeight="1"/>
    <row r="1044541" ht="10.5" customHeight="1"/>
    <row r="1044542" ht="10.5" customHeight="1"/>
    <row r="1044543" ht="10.5" customHeight="1"/>
    <row r="1044544" ht="10.5" customHeight="1"/>
    <row r="1044545" ht="10.5" customHeight="1"/>
    <row r="1044546" ht="10.5" customHeight="1"/>
    <row r="1044547" ht="10.5" customHeight="1"/>
    <row r="1044548" ht="10.5" customHeight="1"/>
    <row r="1044549" ht="10.5" customHeight="1"/>
    <row r="1044550" ht="10.5" customHeight="1"/>
    <row r="1044551" ht="10.5" customHeight="1"/>
    <row r="1044552" ht="10.5" customHeight="1"/>
    <row r="1044553" ht="10.5" customHeight="1"/>
    <row r="1044554" ht="10.5" customHeight="1"/>
    <row r="1044555" ht="10.5" customHeight="1"/>
    <row r="1044556" ht="10.5" customHeight="1"/>
    <row r="1044557" ht="10.5" customHeight="1"/>
    <row r="1044558" ht="10.5" customHeight="1"/>
    <row r="1044559" ht="10.5" customHeight="1"/>
    <row r="1044560" ht="10.5" customHeight="1"/>
    <row r="1044561" ht="10.5" customHeight="1"/>
    <row r="1044562" ht="10.5" customHeight="1"/>
    <row r="1044563" ht="10.5" customHeight="1"/>
    <row r="1044564" ht="10.5" customHeight="1"/>
    <row r="1044565" ht="10.5" customHeight="1"/>
    <row r="1044566" ht="10.5" customHeight="1"/>
    <row r="1044567" ht="10.5" customHeight="1"/>
    <row r="1044568" ht="10.5" customHeight="1"/>
    <row r="1044569" ht="10.5" customHeight="1"/>
    <row r="1044570" ht="10.5" customHeight="1"/>
    <row r="1044571" ht="10.5" customHeight="1"/>
    <row r="1044572" ht="10.5" customHeight="1"/>
    <row r="1044573" ht="10.5" customHeight="1"/>
    <row r="1044574" ht="10.5" customHeight="1"/>
    <row r="1044575" ht="10.5" customHeight="1"/>
    <row r="1044576" ht="10.5" customHeight="1"/>
    <row r="1044577" ht="10.5" customHeight="1"/>
    <row r="1044578" ht="10.5" customHeight="1"/>
    <row r="1044579" ht="10.5" customHeight="1"/>
    <row r="1044580" ht="10.5" customHeight="1"/>
    <row r="1044581" ht="10.5" customHeight="1"/>
    <row r="1044582" ht="10.5" customHeight="1"/>
    <row r="1044583" ht="10.5" customHeight="1"/>
    <row r="1044584" ht="10.5" customHeight="1"/>
    <row r="1044585" ht="10.5" customHeight="1"/>
    <row r="1044586" ht="10.5" customHeight="1"/>
    <row r="1044587" ht="10.5" customHeight="1"/>
    <row r="1044588" ht="10.5" customHeight="1"/>
    <row r="1044589" ht="10.5" customHeight="1"/>
    <row r="1044590" ht="10.5" customHeight="1"/>
    <row r="1044591" ht="10.5" customHeight="1"/>
    <row r="1044592" ht="10.5" customHeight="1"/>
    <row r="1044593" ht="10.5" customHeight="1"/>
    <row r="1044594" ht="10.5" customHeight="1"/>
    <row r="1044595" ht="10.5" customHeight="1"/>
    <row r="1044596" ht="10.5" customHeight="1"/>
    <row r="1044597" ht="10.5" customHeight="1"/>
    <row r="1044598" ht="10.5" customHeight="1"/>
    <row r="1044599" ht="10.5" customHeight="1"/>
    <row r="1044600" ht="10.5" customHeight="1"/>
    <row r="1044601" ht="10.5" customHeight="1"/>
    <row r="1044602" ht="10.5" customHeight="1"/>
    <row r="1044603" ht="10.5" customHeight="1"/>
    <row r="1044604" ht="10.5" customHeight="1"/>
    <row r="1044605" ht="10.5" customHeight="1"/>
    <row r="1044606" ht="10.5" customHeight="1"/>
    <row r="1044607" ht="10.5" customHeight="1"/>
    <row r="1044608" ht="10.5" customHeight="1"/>
    <row r="1044609" ht="10.5" customHeight="1"/>
    <row r="1044610" ht="10.5" customHeight="1"/>
    <row r="1044611" ht="10.5" customHeight="1"/>
    <row r="1044612" ht="10.5" customHeight="1"/>
    <row r="1044613" ht="10.5" customHeight="1"/>
    <row r="1044614" ht="10.5" customHeight="1"/>
    <row r="1044615" ht="10.5" customHeight="1"/>
    <row r="1044616" ht="10.5" customHeight="1"/>
    <row r="1044617" ht="10.5" customHeight="1"/>
    <row r="1044618" ht="10.5" customHeight="1"/>
    <row r="1044619" ht="10.5" customHeight="1"/>
    <row r="1044620" ht="10.5" customHeight="1"/>
    <row r="1044621" ht="10.5" customHeight="1"/>
    <row r="1044622" ht="10.5" customHeight="1"/>
    <row r="1044623" ht="10.5" customHeight="1"/>
    <row r="1044624" ht="10.5" customHeight="1"/>
    <row r="1044625" ht="10.5" customHeight="1"/>
    <row r="1044626" ht="10.5" customHeight="1"/>
    <row r="1044627" ht="10.5" customHeight="1"/>
    <row r="1044628" ht="10.5" customHeight="1"/>
    <row r="1044629" ht="10.5" customHeight="1"/>
    <row r="1044630" ht="10.5" customHeight="1"/>
    <row r="1044631" ht="10.5" customHeight="1"/>
    <row r="1044632" ht="10.5" customHeight="1"/>
    <row r="1044633" ht="10.5" customHeight="1"/>
    <row r="1044634" ht="10.5" customHeight="1"/>
    <row r="1044635" ht="10.5" customHeight="1"/>
    <row r="1044636" ht="10.5" customHeight="1"/>
    <row r="1044637" ht="10.5" customHeight="1"/>
    <row r="1044638" ht="10.5" customHeight="1"/>
    <row r="1044639" ht="10.5" customHeight="1"/>
    <row r="1044640" ht="10.5" customHeight="1"/>
    <row r="1044641" ht="10.5" customHeight="1"/>
    <row r="1044642" ht="10.5" customHeight="1"/>
    <row r="1044643" ht="10.5" customHeight="1"/>
    <row r="1044644" ht="10.5" customHeight="1"/>
    <row r="1044645" ht="10.5" customHeight="1"/>
    <row r="1044646" ht="10.5" customHeight="1"/>
    <row r="1044647" ht="10.5" customHeight="1"/>
    <row r="1044648" ht="10.5" customHeight="1"/>
    <row r="1044649" ht="10.5" customHeight="1"/>
    <row r="1044650" ht="10.5" customHeight="1"/>
    <row r="1044651" ht="10.5" customHeight="1"/>
    <row r="1044652" ht="10.5" customHeight="1"/>
    <row r="1044653" ht="10.5" customHeight="1"/>
    <row r="1044654" ht="10.5" customHeight="1"/>
    <row r="1044655" ht="10.5" customHeight="1"/>
    <row r="1044656" ht="10.5" customHeight="1"/>
    <row r="1044657" ht="10.5" customHeight="1"/>
    <row r="1044658" ht="10.5" customHeight="1"/>
    <row r="1044659" ht="10.5" customHeight="1"/>
    <row r="1044660" ht="10.5" customHeight="1"/>
    <row r="1044661" ht="10.5" customHeight="1"/>
    <row r="1044662" ht="10.5" customHeight="1"/>
    <row r="1044663" ht="10.5" customHeight="1"/>
    <row r="1044664" ht="10.5" customHeight="1"/>
    <row r="1044665" ht="10.5" customHeight="1"/>
    <row r="1044666" ht="10.5" customHeight="1"/>
    <row r="1044667" ht="10.5" customHeight="1"/>
    <row r="1044668" ht="10.5" customHeight="1"/>
    <row r="1044669" ht="10.5" customHeight="1"/>
    <row r="1044670" ht="10.5" customHeight="1"/>
    <row r="1044671" ht="10.5" customHeight="1"/>
    <row r="1044672" ht="10.5" customHeight="1"/>
    <row r="1044673" ht="10.5" customHeight="1"/>
    <row r="1044674" ht="10.5" customHeight="1"/>
    <row r="1044675" ht="10.5" customHeight="1"/>
    <row r="1044676" ht="10.5" customHeight="1"/>
    <row r="1044677" ht="10.5" customHeight="1"/>
    <row r="1044678" ht="10.5" customHeight="1"/>
    <row r="1044679" ht="10.5" customHeight="1"/>
    <row r="1044680" ht="10.5" customHeight="1"/>
    <row r="1044681" ht="10.5" customHeight="1"/>
    <row r="1044682" ht="10.5" customHeight="1"/>
    <row r="1044683" ht="10.5" customHeight="1"/>
    <row r="1044684" ht="10.5" customHeight="1"/>
    <row r="1044685" ht="10.5" customHeight="1"/>
    <row r="1044686" ht="10.5" customHeight="1"/>
    <row r="1044687" ht="10.5" customHeight="1"/>
    <row r="1044688" ht="10.5" customHeight="1"/>
    <row r="1044689" ht="10.5" customHeight="1"/>
    <row r="1044690" ht="10.5" customHeight="1"/>
    <row r="1044691" ht="10.5" customHeight="1"/>
    <row r="1044692" ht="10.5" customHeight="1"/>
    <row r="1044693" ht="10.5" customHeight="1"/>
    <row r="1044694" ht="10.5" customHeight="1"/>
    <row r="1044695" ht="10.5" customHeight="1"/>
    <row r="1044696" ht="10.5" customHeight="1"/>
    <row r="1044697" ht="10.5" customHeight="1"/>
    <row r="1044698" ht="10.5" customHeight="1"/>
    <row r="1044699" ht="10.5" customHeight="1"/>
    <row r="1044700" ht="10.5" customHeight="1"/>
    <row r="1044701" ht="10.5" customHeight="1"/>
    <row r="1044702" ht="10.5" customHeight="1"/>
    <row r="1044703" ht="10.5" customHeight="1"/>
    <row r="1044704" ht="10.5" customHeight="1"/>
    <row r="1044705" ht="10.5" customHeight="1"/>
    <row r="1044706" ht="10.5" customHeight="1"/>
    <row r="1044707" ht="10.5" customHeight="1"/>
    <row r="1044708" ht="10.5" customHeight="1"/>
    <row r="1044709" ht="10.5" customHeight="1"/>
    <row r="1044710" ht="10.5" customHeight="1"/>
    <row r="1044711" ht="10.5" customHeight="1"/>
    <row r="1044712" ht="10.5" customHeight="1"/>
    <row r="1044713" ht="10.5" customHeight="1"/>
    <row r="1044714" ht="10.5" customHeight="1"/>
    <row r="1044715" ht="10.5" customHeight="1"/>
    <row r="1044716" ht="10.5" customHeight="1"/>
    <row r="1044717" ht="10.5" customHeight="1"/>
    <row r="1044718" ht="10.5" customHeight="1"/>
    <row r="1044719" ht="10.5" customHeight="1"/>
    <row r="1044720" ht="10.5" customHeight="1"/>
    <row r="1044721" ht="10.5" customHeight="1"/>
    <row r="1044722" ht="10.5" customHeight="1"/>
    <row r="1044723" ht="10.5" customHeight="1"/>
    <row r="1044724" ht="10.5" customHeight="1"/>
    <row r="1044725" ht="10.5" customHeight="1"/>
    <row r="1044726" ht="10.5" customHeight="1"/>
    <row r="1044727" ht="10.5" customHeight="1"/>
    <row r="1044728" ht="10.5" customHeight="1"/>
    <row r="1044729" ht="10.5" customHeight="1"/>
    <row r="1044730" ht="10.5" customHeight="1"/>
    <row r="1044731" ht="10.5" customHeight="1"/>
    <row r="1044732" ht="10.5" customHeight="1"/>
    <row r="1044733" ht="10.5" customHeight="1"/>
    <row r="1044734" ht="10.5" customHeight="1"/>
    <row r="1044735" ht="10.5" customHeight="1"/>
    <row r="1044736" ht="10.5" customHeight="1"/>
    <row r="1044737" ht="10.5" customHeight="1"/>
    <row r="1044738" ht="10.5" customHeight="1"/>
    <row r="1044739" ht="10.5" customHeight="1"/>
    <row r="1044740" ht="10.5" customHeight="1"/>
    <row r="1044741" ht="10.5" customHeight="1"/>
    <row r="1044742" ht="10.5" customHeight="1"/>
    <row r="1044743" ht="10.5" customHeight="1"/>
    <row r="1044744" ht="10.5" customHeight="1"/>
    <row r="1044745" ht="10.5" customHeight="1"/>
    <row r="1044746" ht="10.5" customHeight="1"/>
    <row r="1044747" ht="10.5" customHeight="1"/>
    <row r="1044748" ht="10.5" customHeight="1"/>
    <row r="1044749" ht="10.5" customHeight="1"/>
    <row r="1044750" ht="10.5" customHeight="1"/>
    <row r="1044751" ht="10.5" customHeight="1"/>
    <row r="1044752" ht="10.5" customHeight="1"/>
    <row r="1044753" ht="10.5" customHeight="1"/>
    <row r="1044754" ht="10.5" customHeight="1"/>
    <row r="1044755" ht="10.5" customHeight="1"/>
    <row r="1044756" ht="10.5" customHeight="1"/>
    <row r="1044757" ht="10.5" customHeight="1"/>
    <row r="1044758" ht="10.5" customHeight="1"/>
    <row r="1044759" ht="10.5" customHeight="1"/>
    <row r="1044760" ht="10.5" customHeight="1"/>
    <row r="1044761" ht="10.5" customHeight="1"/>
    <row r="1044762" ht="10.5" customHeight="1"/>
    <row r="1044763" ht="10.5" customHeight="1"/>
    <row r="1044764" ht="10.5" customHeight="1"/>
    <row r="1044765" ht="10.5" customHeight="1"/>
    <row r="1044766" ht="10.5" customHeight="1"/>
    <row r="1044767" ht="10.5" customHeight="1"/>
    <row r="1044768" ht="10.5" customHeight="1"/>
    <row r="1044769" ht="10.5" customHeight="1"/>
    <row r="1044770" ht="10.5" customHeight="1"/>
    <row r="1044771" ht="10.5" customHeight="1"/>
    <row r="1044772" ht="10.5" customHeight="1"/>
    <row r="1044773" ht="10.5" customHeight="1"/>
    <row r="1044774" ht="10.5" customHeight="1"/>
    <row r="1044775" ht="10.5" customHeight="1"/>
    <row r="1044776" ht="10.5" customHeight="1"/>
    <row r="1044777" ht="10.5" customHeight="1"/>
    <row r="1044778" ht="10.5" customHeight="1"/>
    <row r="1044779" ht="10.5" customHeight="1"/>
    <row r="1044780" ht="10.5" customHeight="1"/>
    <row r="1044781" ht="10.5" customHeight="1"/>
    <row r="1044782" ht="10.5" customHeight="1"/>
    <row r="1044783" ht="10.5" customHeight="1"/>
    <row r="1044784" ht="10.5" customHeight="1"/>
    <row r="1044785" ht="10.5" customHeight="1"/>
    <row r="1044786" ht="10.5" customHeight="1"/>
    <row r="1044787" ht="10.5" customHeight="1"/>
    <row r="1044788" ht="10.5" customHeight="1"/>
    <row r="1044789" ht="10.5" customHeight="1"/>
    <row r="1044790" ht="10.5" customHeight="1"/>
    <row r="1044791" ht="10.5" customHeight="1"/>
    <row r="1044792" ht="10.5" customHeight="1"/>
    <row r="1044793" ht="10.5" customHeight="1"/>
    <row r="1044794" ht="10.5" customHeight="1"/>
    <row r="1044795" ht="10.5" customHeight="1"/>
    <row r="1044796" ht="10.5" customHeight="1"/>
    <row r="1044797" ht="10.5" customHeight="1"/>
    <row r="1044798" ht="10.5" customHeight="1"/>
    <row r="1044799" ht="10.5" customHeight="1"/>
    <row r="1044800" ht="10.5" customHeight="1"/>
    <row r="1044801" ht="10.5" customHeight="1"/>
    <row r="1044802" ht="10.5" customHeight="1"/>
    <row r="1044803" ht="10.5" customHeight="1"/>
    <row r="1044804" ht="10.5" customHeight="1"/>
    <row r="1044805" ht="10.5" customHeight="1"/>
    <row r="1044806" ht="10.5" customHeight="1"/>
    <row r="1044807" ht="10.5" customHeight="1"/>
    <row r="1044808" ht="10.5" customHeight="1"/>
    <row r="1044809" ht="10.5" customHeight="1"/>
    <row r="1044810" ht="10.5" customHeight="1"/>
    <row r="1044811" ht="10.5" customHeight="1"/>
    <row r="1044812" ht="10.5" customHeight="1"/>
    <row r="1044813" ht="10.5" customHeight="1"/>
    <row r="1044814" ht="10.5" customHeight="1"/>
    <row r="1044815" ht="10.5" customHeight="1"/>
    <row r="1044816" ht="10.5" customHeight="1"/>
    <row r="1044817" ht="10.5" customHeight="1"/>
    <row r="1044818" ht="10.5" customHeight="1"/>
    <row r="1044819" ht="10.5" customHeight="1"/>
    <row r="1044820" ht="10.5" customHeight="1"/>
    <row r="1044821" ht="10.5" customHeight="1"/>
    <row r="1044822" ht="10.5" customHeight="1"/>
    <row r="1044823" ht="10.5" customHeight="1"/>
    <row r="1044824" ht="10.5" customHeight="1"/>
    <row r="1044825" ht="10.5" customHeight="1"/>
    <row r="1044826" ht="10.5" customHeight="1"/>
    <row r="1044827" ht="10.5" customHeight="1"/>
    <row r="1044828" ht="10.5" customHeight="1"/>
    <row r="1044829" ht="10.5" customHeight="1"/>
    <row r="1044830" ht="10.5" customHeight="1"/>
    <row r="1044831" ht="10.5" customHeight="1"/>
    <row r="1044832" ht="10.5" customHeight="1"/>
    <row r="1044833" ht="10.5" customHeight="1"/>
    <row r="1044834" ht="10.5" customHeight="1"/>
    <row r="1044835" ht="10.5" customHeight="1"/>
    <row r="1044836" ht="10.5" customHeight="1"/>
    <row r="1044837" ht="10.5" customHeight="1"/>
    <row r="1044838" ht="10.5" customHeight="1"/>
    <row r="1044839" ht="10.5" customHeight="1"/>
    <row r="1044840" ht="10.5" customHeight="1"/>
    <row r="1044841" ht="10.5" customHeight="1"/>
    <row r="1044842" ht="10.5" customHeight="1"/>
    <row r="1044843" ht="10.5" customHeight="1"/>
    <row r="1044844" ht="10.5" customHeight="1"/>
    <row r="1044845" ht="10.5" customHeight="1"/>
    <row r="1044846" ht="10.5" customHeight="1"/>
    <row r="1044847" ht="10.5" customHeight="1"/>
    <row r="1044848" ht="10.5" customHeight="1"/>
    <row r="1044849" ht="10.5" customHeight="1"/>
    <row r="1044850" ht="10.5" customHeight="1"/>
    <row r="1044851" ht="10.5" customHeight="1"/>
    <row r="1044852" ht="10.5" customHeight="1"/>
    <row r="1044853" ht="10.5" customHeight="1"/>
    <row r="1044854" ht="10.5" customHeight="1"/>
    <row r="1044855" ht="10.5" customHeight="1"/>
    <row r="1044856" ht="10.5" customHeight="1"/>
    <row r="1044857" ht="10.5" customHeight="1"/>
    <row r="1044858" ht="10.5" customHeight="1"/>
    <row r="1044859" ht="10.5" customHeight="1"/>
    <row r="1044860" ht="10.5" customHeight="1"/>
    <row r="1044861" ht="10.5" customHeight="1"/>
    <row r="1044862" ht="10.5" customHeight="1"/>
    <row r="1044863" ht="10.5" customHeight="1"/>
    <row r="1044864" ht="10.5" customHeight="1"/>
    <row r="1044865" ht="10.5" customHeight="1"/>
    <row r="1044866" ht="10.5" customHeight="1"/>
    <row r="1044867" ht="10.5" customHeight="1"/>
    <row r="1044868" ht="10.5" customHeight="1"/>
    <row r="1044869" ht="10.5" customHeight="1"/>
    <row r="1044870" ht="10.5" customHeight="1"/>
    <row r="1044871" ht="10.5" customHeight="1"/>
    <row r="1044872" ht="10.5" customHeight="1"/>
    <row r="1044873" ht="10.5" customHeight="1"/>
    <row r="1044874" ht="10.5" customHeight="1"/>
    <row r="1044875" ht="10.5" customHeight="1"/>
    <row r="1044876" ht="10.5" customHeight="1"/>
    <row r="1044877" ht="10.5" customHeight="1"/>
    <row r="1044878" ht="10.5" customHeight="1"/>
    <row r="1044879" ht="10.5" customHeight="1"/>
    <row r="1044880" ht="10.5" customHeight="1"/>
    <row r="1044881" ht="10.5" customHeight="1"/>
    <row r="1044882" ht="10.5" customHeight="1"/>
    <row r="1044883" ht="10.5" customHeight="1"/>
    <row r="1044884" ht="10.5" customHeight="1"/>
    <row r="1044885" ht="10.5" customHeight="1"/>
    <row r="1044886" ht="10.5" customHeight="1"/>
    <row r="1044887" ht="10.5" customHeight="1"/>
    <row r="1044888" ht="10.5" customHeight="1"/>
    <row r="1044889" ht="10.5" customHeight="1"/>
    <row r="1044890" ht="10.5" customHeight="1"/>
    <row r="1044891" ht="10.5" customHeight="1"/>
    <row r="1044892" ht="10.5" customHeight="1"/>
    <row r="1044893" ht="10.5" customHeight="1"/>
    <row r="1044894" ht="10.5" customHeight="1"/>
    <row r="1044895" ht="10.5" customHeight="1"/>
    <row r="1044896" ht="10.5" customHeight="1"/>
    <row r="1044897" ht="10.5" customHeight="1"/>
    <row r="1044898" ht="10.5" customHeight="1"/>
    <row r="1044899" ht="10.5" customHeight="1"/>
    <row r="1044900" ht="10.5" customHeight="1"/>
    <row r="1044901" ht="10.5" customHeight="1"/>
    <row r="1044902" ht="10.5" customHeight="1"/>
    <row r="1044903" ht="10.5" customHeight="1"/>
    <row r="1044904" ht="10.5" customHeight="1"/>
    <row r="1044905" ht="10.5" customHeight="1"/>
    <row r="1044906" ht="10.5" customHeight="1"/>
    <row r="1044907" ht="10.5" customHeight="1"/>
    <row r="1044908" ht="10.5" customHeight="1"/>
    <row r="1044909" ht="10.5" customHeight="1"/>
    <row r="1044910" ht="10.5" customHeight="1"/>
    <row r="1044911" ht="10.5" customHeight="1"/>
    <row r="1044912" ht="10.5" customHeight="1"/>
    <row r="1044913" ht="10.5" customHeight="1"/>
    <row r="1044914" ht="10.5" customHeight="1"/>
    <row r="1044915" ht="10.5" customHeight="1"/>
    <row r="1044916" ht="10.5" customHeight="1"/>
    <row r="1044917" ht="10.5" customHeight="1"/>
    <row r="1044918" ht="10.5" customHeight="1"/>
    <row r="1044919" ht="10.5" customHeight="1"/>
    <row r="1044920" ht="10.5" customHeight="1"/>
    <row r="1044921" ht="10.5" customHeight="1"/>
    <row r="1044922" ht="10.5" customHeight="1"/>
    <row r="1044923" ht="10.5" customHeight="1"/>
    <row r="1044924" ht="10.5" customHeight="1"/>
    <row r="1044925" ht="10.5" customHeight="1"/>
    <row r="1044926" ht="10.5" customHeight="1"/>
    <row r="1044927" ht="10.5" customHeight="1"/>
    <row r="1044928" ht="10.5" customHeight="1"/>
    <row r="1044929" ht="10.5" customHeight="1"/>
    <row r="1044930" ht="10.5" customHeight="1"/>
    <row r="1044931" ht="10.5" customHeight="1"/>
    <row r="1044932" ht="10.5" customHeight="1"/>
    <row r="1044933" ht="10.5" customHeight="1"/>
    <row r="1044934" ht="10.5" customHeight="1"/>
    <row r="1044935" ht="10.5" customHeight="1"/>
    <row r="1044936" ht="10.5" customHeight="1"/>
    <row r="1044937" ht="10.5" customHeight="1"/>
    <row r="1044938" ht="10.5" customHeight="1"/>
    <row r="1044939" ht="10.5" customHeight="1"/>
    <row r="1044940" ht="10.5" customHeight="1"/>
    <row r="1044941" ht="10.5" customHeight="1"/>
    <row r="1044942" ht="10.5" customHeight="1"/>
    <row r="1044943" ht="10.5" customHeight="1"/>
    <row r="1044944" ht="10.5" customHeight="1"/>
    <row r="1044945" ht="10.5" customHeight="1"/>
    <row r="1044946" ht="10.5" customHeight="1"/>
    <row r="1044947" ht="10.5" customHeight="1"/>
    <row r="1044948" ht="10.5" customHeight="1"/>
    <row r="1044949" ht="10.5" customHeight="1"/>
    <row r="1044950" ht="10.5" customHeight="1"/>
    <row r="1044951" ht="10.5" customHeight="1"/>
    <row r="1044952" ht="10.5" customHeight="1"/>
    <row r="1044953" ht="10.5" customHeight="1"/>
    <row r="1044954" ht="10.5" customHeight="1"/>
    <row r="1044955" ht="10.5" customHeight="1"/>
    <row r="1044956" ht="10.5" customHeight="1"/>
    <row r="1044957" ht="10.5" customHeight="1"/>
    <row r="1044958" ht="10.5" customHeight="1"/>
    <row r="1044959" ht="10.5" customHeight="1"/>
    <row r="1044960" ht="10.5" customHeight="1"/>
    <row r="1044961" ht="10.5" customHeight="1"/>
    <row r="1044962" ht="10.5" customHeight="1"/>
    <row r="1044963" ht="10.5" customHeight="1"/>
    <row r="1044964" ht="10.5" customHeight="1"/>
    <row r="1044965" ht="10.5" customHeight="1"/>
    <row r="1044966" ht="10.5" customHeight="1"/>
    <row r="1044967" ht="10.5" customHeight="1"/>
    <row r="1044968" ht="10.5" customHeight="1"/>
    <row r="1044969" ht="10.5" customHeight="1"/>
    <row r="1044970" ht="10.5" customHeight="1"/>
    <row r="1044971" ht="10.5" customHeight="1"/>
    <row r="1044972" ht="10.5" customHeight="1"/>
    <row r="1044973" ht="10.5" customHeight="1"/>
    <row r="1044974" ht="10.5" customHeight="1"/>
    <row r="1044975" ht="10.5" customHeight="1"/>
    <row r="1044976" ht="10.5" customHeight="1"/>
    <row r="1044977" ht="10.5" customHeight="1"/>
    <row r="1044978" ht="10.5" customHeight="1"/>
    <row r="1044979" ht="10.5" customHeight="1"/>
    <row r="1044980" ht="10.5" customHeight="1"/>
    <row r="1044981" ht="10.5" customHeight="1"/>
    <row r="1044982" ht="10.5" customHeight="1"/>
    <row r="1044983" ht="10.5" customHeight="1"/>
    <row r="1044984" ht="10.5" customHeight="1"/>
    <row r="1044985" ht="10.5" customHeight="1"/>
    <row r="1044986" ht="10.5" customHeight="1"/>
    <row r="1044987" ht="10.5" customHeight="1"/>
    <row r="1044988" ht="10.5" customHeight="1"/>
    <row r="1044989" ht="10.5" customHeight="1"/>
    <row r="1044990" ht="10.5" customHeight="1"/>
    <row r="1044991" ht="10.5" customHeight="1"/>
    <row r="1044992" ht="10.5" customHeight="1"/>
    <row r="1044993" ht="10.5" customHeight="1"/>
    <row r="1044994" ht="10.5" customHeight="1"/>
    <row r="1044995" ht="10.5" customHeight="1"/>
    <row r="1044996" ht="10.5" customHeight="1"/>
    <row r="1044997" ht="10.5" customHeight="1"/>
    <row r="1044998" ht="10.5" customHeight="1"/>
    <row r="1044999" ht="10.5" customHeight="1"/>
    <row r="1045000" ht="10.5" customHeight="1"/>
    <row r="1045001" ht="10.5" customHeight="1"/>
    <row r="1045002" ht="10.5" customHeight="1"/>
    <row r="1045003" ht="10.5" customHeight="1"/>
    <row r="1045004" ht="10.5" customHeight="1"/>
    <row r="1045005" ht="10.5" customHeight="1"/>
    <row r="1045006" ht="10.5" customHeight="1"/>
    <row r="1045007" ht="10.5" customHeight="1"/>
    <row r="1045008" ht="10.5" customHeight="1"/>
    <row r="1045009" ht="10.5" customHeight="1"/>
    <row r="1045010" ht="10.5" customHeight="1"/>
    <row r="1045011" ht="10.5" customHeight="1"/>
    <row r="1045012" ht="10.5" customHeight="1"/>
    <row r="1045013" ht="10.5" customHeight="1"/>
    <row r="1045014" ht="10.5" customHeight="1"/>
    <row r="1045015" ht="10.5" customHeight="1"/>
    <row r="1045016" ht="10.5" customHeight="1"/>
    <row r="1045017" ht="10.5" customHeight="1"/>
    <row r="1045018" ht="10.5" customHeight="1"/>
    <row r="1045019" ht="10.5" customHeight="1"/>
    <row r="1045020" ht="10.5" customHeight="1"/>
    <row r="1045021" ht="10.5" customHeight="1"/>
    <row r="1045022" ht="10.5" customHeight="1"/>
    <row r="1045023" ht="10.5" customHeight="1"/>
    <row r="1045024" ht="10.5" customHeight="1"/>
    <row r="1045025" ht="10.5" customHeight="1"/>
    <row r="1045026" ht="10.5" customHeight="1"/>
    <row r="1045027" ht="10.5" customHeight="1"/>
    <row r="1045028" ht="10.5" customHeight="1"/>
    <row r="1045029" ht="10.5" customHeight="1"/>
    <row r="1045030" ht="10.5" customHeight="1"/>
    <row r="1045031" ht="10.5" customHeight="1"/>
    <row r="1045032" ht="10.5" customHeight="1"/>
    <row r="1045033" ht="10.5" customHeight="1"/>
    <row r="1045034" ht="10.5" customHeight="1"/>
    <row r="1045035" ht="10.5" customHeight="1"/>
    <row r="1045036" ht="10.5" customHeight="1"/>
    <row r="1045037" ht="10.5" customHeight="1"/>
    <row r="1045038" ht="10.5" customHeight="1"/>
    <row r="1045039" ht="10.5" customHeight="1"/>
    <row r="1045040" ht="10.5" customHeight="1"/>
    <row r="1045041" ht="10.5" customHeight="1"/>
    <row r="1045042" ht="10.5" customHeight="1"/>
    <row r="1045043" ht="10.5" customHeight="1"/>
    <row r="1045044" ht="10.5" customHeight="1"/>
    <row r="1045045" ht="10.5" customHeight="1"/>
    <row r="1045046" ht="10.5" customHeight="1"/>
    <row r="1045047" ht="10.5" customHeight="1"/>
    <row r="1045048" ht="10.5" customHeight="1"/>
    <row r="1045049" ht="10.5" customHeight="1"/>
    <row r="1045050" ht="10.5" customHeight="1"/>
    <row r="1045051" ht="10.5" customHeight="1"/>
    <row r="1045052" ht="10.5" customHeight="1"/>
    <row r="1045053" ht="10.5" customHeight="1"/>
    <row r="1045054" ht="10.5" customHeight="1"/>
    <row r="1045055" ht="10.5" customHeight="1"/>
    <row r="1045056" ht="10.5" customHeight="1"/>
    <row r="1045057" ht="10.5" customHeight="1"/>
    <row r="1045058" ht="10.5" customHeight="1"/>
    <row r="1045059" ht="10.5" customHeight="1"/>
    <row r="1045060" ht="10.5" customHeight="1"/>
    <row r="1045061" ht="10.5" customHeight="1"/>
    <row r="1045062" ht="10.5" customHeight="1"/>
    <row r="1045063" ht="10.5" customHeight="1"/>
    <row r="1045064" ht="10.5" customHeight="1"/>
    <row r="1045065" ht="10.5" customHeight="1"/>
    <row r="1045066" ht="10.5" customHeight="1"/>
    <row r="1045067" ht="10.5" customHeight="1"/>
    <row r="1045068" ht="10.5" customHeight="1"/>
    <row r="1045069" ht="10.5" customHeight="1"/>
    <row r="1045070" ht="10.5" customHeight="1"/>
    <row r="1045071" ht="10.5" customHeight="1"/>
    <row r="1045072" ht="10.5" customHeight="1"/>
    <row r="1045073" ht="10.5" customHeight="1"/>
    <row r="1045074" ht="10.5" customHeight="1"/>
    <row r="1045075" ht="10.5" customHeight="1"/>
    <row r="1045076" ht="10.5" customHeight="1"/>
    <row r="1045077" ht="10.5" customHeight="1"/>
    <row r="1045078" ht="10.5" customHeight="1"/>
    <row r="1045079" ht="10.5" customHeight="1"/>
    <row r="1045080" ht="10.5" customHeight="1"/>
    <row r="1045081" ht="10.5" customHeight="1"/>
    <row r="1045082" ht="10.5" customHeight="1"/>
    <row r="1045083" ht="10.5" customHeight="1"/>
    <row r="1045084" ht="10.5" customHeight="1"/>
    <row r="1045085" ht="10.5" customHeight="1"/>
    <row r="1045086" ht="10.5" customHeight="1"/>
    <row r="1045087" ht="10.5" customHeight="1"/>
    <row r="1045088" ht="10.5" customHeight="1"/>
    <row r="1045089" ht="10.5" customHeight="1"/>
    <row r="1045090" ht="10.5" customHeight="1"/>
    <row r="1045091" ht="10.5" customHeight="1"/>
    <row r="1045092" ht="10.5" customHeight="1"/>
    <row r="1045093" ht="10.5" customHeight="1"/>
    <row r="1045094" ht="10.5" customHeight="1"/>
    <row r="1045095" ht="10.5" customHeight="1"/>
    <row r="1045096" ht="10.5" customHeight="1"/>
    <row r="1045097" ht="10.5" customHeight="1"/>
    <row r="1045098" ht="10.5" customHeight="1"/>
    <row r="1045099" ht="10.5" customHeight="1"/>
    <row r="1045100" ht="10.5" customHeight="1"/>
    <row r="1045101" ht="10.5" customHeight="1"/>
    <row r="1045102" ht="10.5" customHeight="1"/>
    <row r="1045103" ht="10.5" customHeight="1"/>
    <row r="1045104" ht="10.5" customHeight="1"/>
    <row r="1045105" ht="10.5" customHeight="1"/>
    <row r="1045106" ht="10.5" customHeight="1"/>
    <row r="1045107" ht="10.5" customHeight="1"/>
    <row r="1045108" ht="10.5" customHeight="1"/>
    <row r="1045109" ht="10.5" customHeight="1"/>
    <row r="1045110" ht="10.5" customHeight="1"/>
    <row r="1045111" ht="10.5" customHeight="1"/>
    <row r="1045112" ht="10.5" customHeight="1"/>
    <row r="1045113" ht="10.5" customHeight="1"/>
    <row r="1045114" ht="10.5" customHeight="1"/>
    <row r="1045115" ht="10.5" customHeight="1"/>
    <row r="1045116" ht="10.5" customHeight="1"/>
    <row r="1045117" ht="10.5" customHeight="1"/>
    <row r="1045118" ht="10.5" customHeight="1"/>
    <row r="1045119" ht="10.5" customHeight="1"/>
    <row r="1045120" ht="10.5" customHeight="1"/>
    <row r="1045121" ht="10.5" customHeight="1"/>
    <row r="1045122" ht="10.5" customHeight="1"/>
    <row r="1045123" ht="10.5" customHeight="1"/>
    <row r="1045124" ht="10.5" customHeight="1"/>
    <row r="1045125" ht="10.5" customHeight="1"/>
    <row r="1045126" ht="10.5" customHeight="1"/>
    <row r="1045127" ht="10.5" customHeight="1"/>
    <row r="1045128" ht="10.5" customHeight="1"/>
    <row r="1045129" ht="10.5" customHeight="1"/>
    <row r="1045130" ht="10.5" customHeight="1"/>
    <row r="1045131" ht="10.5" customHeight="1"/>
    <row r="1045132" ht="10.5" customHeight="1"/>
    <row r="1045133" ht="10.5" customHeight="1"/>
    <row r="1045134" ht="10.5" customHeight="1"/>
    <row r="1045135" ht="10.5" customHeight="1"/>
    <row r="1045136" ht="10.5" customHeight="1"/>
    <row r="1045137" ht="10.5" customHeight="1"/>
    <row r="1045138" ht="10.5" customHeight="1"/>
    <row r="1045139" ht="10.5" customHeight="1"/>
    <row r="1045140" ht="10.5" customHeight="1"/>
    <row r="1045141" ht="10.5" customHeight="1"/>
    <row r="1045142" ht="10.5" customHeight="1"/>
    <row r="1045143" ht="10.5" customHeight="1"/>
    <row r="1045144" ht="10.5" customHeight="1"/>
    <row r="1045145" ht="10.5" customHeight="1"/>
    <row r="1045146" ht="10.5" customHeight="1"/>
    <row r="1045147" ht="10.5" customHeight="1"/>
    <row r="1045148" ht="10.5" customHeight="1"/>
    <row r="1045149" ht="10.5" customHeight="1"/>
    <row r="1045150" ht="10.5" customHeight="1"/>
    <row r="1045151" ht="10.5" customHeight="1"/>
    <row r="1045152" ht="10.5" customHeight="1"/>
    <row r="1045153" ht="10.5" customHeight="1"/>
    <row r="1045154" ht="10.5" customHeight="1"/>
    <row r="1045155" ht="10.5" customHeight="1"/>
    <row r="1045156" ht="10.5" customHeight="1"/>
    <row r="1045157" ht="10.5" customHeight="1"/>
    <row r="1045158" ht="10.5" customHeight="1"/>
    <row r="1045159" ht="10.5" customHeight="1"/>
    <row r="1045160" ht="10.5" customHeight="1"/>
    <row r="1045161" ht="10.5" customHeight="1"/>
    <row r="1045162" ht="10.5" customHeight="1"/>
    <row r="1045163" ht="10.5" customHeight="1"/>
    <row r="1045164" ht="10.5" customHeight="1"/>
    <row r="1045165" ht="10.5" customHeight="1"/>
    <row r="1045166" ht="10.5" customHeight="1"/>
    <row r="1045167" ht="10.5" customHeight="1"/>
    <row r="1045168" ht="10.5" customHeight="1"/>
    <row r="1045169" ht="10.5" customHeight="1"/>
    <row r="1045170" ht="10.5" customHeight="1"/>
    <row r="1045171" ht="10.5" customHeight="1"/>
    <row r="1045172" ht="10.5" customHeight="1"/>
    <row r="1045173" ht="10.5" customHeight="1"/>
    <row r="1045174" ht="10.5" customHeight="1"/>
    <row r="1045175" ht="10.5" customHeight="1"/>
    <row r="1045176" ht="10.5" customHeight="1"/>
    <row r="1045177" ht="10.5" customHeight="1"/>
    <row r="1045178" ht="10.5" customHeight="1"/>
    <row r="1045179" ht="10.5" customHeight="1"/>
    <row r="1045180" ht="10.5" customHeight="1"/>
    <row r="1045181" ht="10.5" customHeight="1"/>
    <row r="1045182" ht="10.5" customHeight="1"/>
    <row r="1045183" ht="10.5" customHeight="1"/>
    <row r="1045184" ht="10.5" customHeight="1"/>
    <row r="1045185" ht="10.5" customHeight="1"/>
    <row r="1045186" ht="10.5" customHeight="1"/>
    <row r="1045187" ht="10.5" customHeight="1"/>
    <row r="1045188" ht="10.5" customHeight="1"/>
    <row r="1045189" ht="10.5" customHeight="1"/>
    <row r="1045190" ht="10.5" customHeight="1"/>
    <row r="1045191" ht="10.5" customHeight="1"/>
    <row r="1045192" ht="10.5" customHeight="1"/>
    <row r="1045193" ht="10.5" customHeight="1"/>
    <row r="1045194" ht="10.5" customHeight="1"/>
    <row r="1045195" ht="10.5" customHeight="1"/>
    <row r="1045196" ht="10.5" customHeight="1"/>
    <row r="1045197" ht="10.5" customHeight="1"/>
    <row r="1045198" ht="10.5" customHeight="1"/>
    <row r="1045199" ht="10.5" customHeight="1"/>
    <row r="1045200" ht="10.5" customHeight="1"/>
    <row r="1045201" ht="10.5" customHeight="1"/>
    <row r="1045202" ht="10.5" customHeight="1"/>
    <row r="1045203" ht="10.5" customHeight="1"/>
    <row r="1045204" ht="10.5" customHeight="1"/>
    <row r="1045205" ht="10.5" customHeight="1"/>
    <row r="1045206" ht="10.5" customHeight="1"/>
    <row r="1045207" ht="10.5" customHeight="1"/>
    <row r="1045208" ht="10.5" customHeight="1"/>
    <row r="1045209" ht="10.5" customHeight="1"/>
    <row r="1045210" ht="10.5" customHeight="1"/>
    <row r="1045211" ht="10.5" customHeight="1"/>
    <row r="1045212" ht="10.5" customHeight="1"/>
    <row r="1045213" ht="10.5" customHeight="1"/>
    <row r="1045214" ht="10.5" customHeight="1"/>
    <row r="1045215" ht="10.5" customHeight="1"/>
    <row r="1045216" ht="10.5" customHeight="1"/>
    <row r="1045217" ht="10.5" customHeight="1"/>
    <row r="1045218" ht="10.5" customHeight="1"/>
    <row r="1045219" ht="10.5" customHeight="1"/>
    <row r="1045220" ht="10.5" customHeight="1"/>
    <row r="1045221" ht="10.5" customHeight="1"/>
    <row r="1045222" ht="10.5" customHeight="1"/>
    <row r="1045223" ht="10.5" customHeight="1"/>
    <row r="1045224" ht="10.5" customHeight="1"/>
    <row r="1045225" ht="10.5" customHeight="1"/>
    <row r="1045226" ht="10.5" customHeight="1"/>
    <row r="1045227" ht="10.5" customHeight="1"/>
    <row r="1045228" ht="10.5" customHeight="1"/>
    <row r="1045229" ht="10.5" customHeight="1"/>
    <row r="1045230" ht="10.5" customHeight="1"/>
    <row r="1045231" ht="10.5" customHeight="1"/>
    <row r="1045232" ht="10.5" customHeight="1"/>
    <row r="1045233" ht="10.5" customHeight="1"/>
    <row r="1045234" ht="10.5" customHeight="1"/>
    <row r="1045235" ht="10.5" customHeight="1"/>
    <row r="1045236" ht="10.5" customHeight="1"/>
    <row r="1045237" ht="10.5" customHeight="1"/>
    <row r="1045238" ht="10.5" customHeight="1"/>
    <row r="1045239" ht="10.5" customHeight="1"/>
    <row r="1045240" ht="10.5" customHeight="1"/>
    <row r="1045241" ht="10.5" customHeight="1"/>
    <row r="1045242" ht="10.5" customHeight="1"/>
    <row r="1045243" ht="10.5" customHeight="1"/>
    <row r="1045244" ht="10.5" customHeight="1"/>
    <row r="1045245" ht="10.5" customHeight="1"/>
    <row r="1045246" ht="10.5" customHeight="1"/>
    <row r="1045247" ht="10.5" customHeight="1"/>
    <row r="1045248" ht="10.5" customHeight="1"/>
    <row r="1045249" ht="10.5" customHeight="1"/>
    <row r="1045250" ht="10.5" customHeight="1"/>
    <row r="1045251" ht="10.5" customHeight="1"/>
    <row r="1045252" ht="10.5" customHeight="1"/>
    <row r="1045253" ht="10.5" customHeight="1"/>
    <row r="1045254" ht="10.5" customHeight="1"/>
    <row r="1045255" ht="10.5" customHeight="1"/>
    <row r="1045256" ht="10.5" customHeight="1"/>
    <row r="1045257" ht="10.5" customHeight="1"/>
    <row r="1045258" ht="10.5" customHeight="1"/>
    <row r="1045259" ht="10.5" customHeight="1"/>
    <row r="1045260" ht="10.5" customHeight="1"/>
    <row r="1045261" ht="10.5" customHeight="1"/>
    <row r="1045262" ht="10.5" customHeight="1"/>
    <row r="1045263" ht="10.5" customHeight="1"/>
    <row r="1045264" ht="10.5" customHeight="1"/>
    <row r="1045265" ht="10.5" customHeight="1"/>
    <row r="1045266" ht="10.5" customHeight="1"/>
    <row r="1045267" ht="10.5" customHeight="1"/>
    <row r="1045268" ht="10.5" customHeight="1"/>
    <row r="1045269" ht="10.5" customHeight="1"/>
    <row r="1045270" ht="10.5" customHeight="1"/>
    <row r="1045271" ht="10.5" customHeight="1"/>
    <row r="1045272" ht="10.5" customHeight="1"/>
    <row r="1045273" ht="10.5" customHeight="1"/>
    <row r="1045274" ht="10.5" customHeight="1"/>
    <row r="1045275" ht="10.5" customHeight="1"/>
    <row r="1045276" ht="10.5" customHeight="1"/>
    <row r="1045277" ht="10.5" customHeight="1"/>
    <row r="1045278" ht="10.5" customHeight="1"/>
    <row r="1045279" ht="10.5" customHeight="1"/>
    <row r="1045280" ht="10.5" customHeight="1"/>
    <row r="1045281" ht="10.5" customHeight="1"/>
    <row r="1045282" ht="10.5" customHeight="1"/>
    <row r="1045283" ht="10.5" customHeight="1"/>
    <row r="1045284" ht="10.5" customHeight="1"/>
    <row r="1045285" ht="10.5" customHeight="1"/>
    <row r="1045286" ht="10.5" customHeight="1"/>
    <row r="1045287" ht="10.5" customHeight="1"/>
    <row r="1045288" ht="10.5" customHeight="1"/>
    <row r="1045289" ht="10.5" customHeight="1"/>
    <row r="1045290" ht="10.5" customHeight="1"/>
    <row r="1045291" ht="10.5" customHeight="1"/>
    <row r="1045292" ht="10.5" customHeight="1"/>
    <row r="1045293" ht="10.5" customHeight="1"/>
    <row r="1045294" ht="10.5" customHeight="1"/>
    <row r="1045295" ht="10.5" customHeight="1"/>
    <row r="1045296" ht="10.5" customHeight="1"/>
    <row r="1045297" ht="10.5" customHeight="1"/>
    <row r="1045298" ht="10.5" customHeight="1"/>
    <row r="1045299" ht="10.5" customHeight="1"/>
    <row r="1045300" ht="10.5" customHeight="1"/>
    <row r="1045301" ht="10.5" customHeight="1"/>
    <row r="1045302" ht="10.5" customHeight="1"/>
    <row r="1045303" ht="10.5" customHeight="1"/>
    <row r="1045304" ht="10.5" customHeight="1"/>
    <row r="1045305" ht="10.5" customHeight="1"/>
    <row r="1045306" ht="10.5" customHeight="1"/>
    <row r="1045307" ht="10.5" customHeight="1"/>
    <row r="1045308" ht="10.5" customHeight="1"/>
    <row r="1045309" ht="10.5" customHeight="1"/>
    <row r="1045310" ht="10.5" customHeight="1"/>
    <row r="1045311" ht="10.5" customHeight="1"/>
    <row r="1045312" ht="10.5" customHeight="1"/>
    <row r="1045313" ht="10.5" customHeight="1"/>
    <row r="1045314" ht="10.5" customHeight="1"/>
    <row r="1045315" ht="10.5" customHeight="1"/>
    <row r="1045316" ht="10.5" customHeight="1"/>
    <row r="1045317" ht="10.5" customHeight="1"/>
    <row r="1045318" ht="10.5" customHeight="1"/>
    <row r="1045319" ht="10.5" customHeight="1"/>
    <row r="1045320" ht="10.5" customHeight="1"/>
    <row r="1045321" ht="10.5" customHeight="1"/>
    <row r="1045322" ht="10.5" customHeight="1"/>
    <row r="1045323" ht="10.5" customHeight="1"/>
    <row r="1045324" ht="10.5" customHeight="1"/>
    <row r="1045325" ht="10.5" customHeight="1"/>
    <row r="1045326" ht="10.5" customHeight="1"/>
    <row r="1045327" ht="10.5" customHeight="1"/>
    <row r="1045328" ht="10.5" customHeight="1"/>
    <row r="1045329" ht="10.5" customHeight="1"/>
    <row r="1045330" ht="10.5" customHeight="1"/>
    <row r="1045331" ht="10.5" customHeight="1"/>
    <row r="1045332" ht="10.5" customHeight="1"/>
    <row r="1045333" ht="10.5" customHeight="1"/>
    <row r="1045334" ht="10.5" customHeight="1"/>
    <row r="1045335" ht="10.5" customHeight="1"/>
    <row r="1045336" ht="10.5" customHeight="1"/>
    <row r="1045337" ht="10.5" customHeight="1"/>
    <row r="1045338" ht="10.5" customHeight="1"/>
    <row r="1045339" ht="10.5" customHeight="1"/>
    <row r="1045340" ht="10.5" customHeight="1"/>
    <row r="1045341" ht="10.5" customHeight="1"/>
    <row r="1045342" ht="10.5" customHeight="1"/>
    <row r="1045343" ht="10.5" customHeight="1"/>
    <row r="1045344" ht="10.5" customHeight="1"/>
    <row r="1045345" ht="10.5" customHeight="1"/>
    <row r="1045346" ht="10.5" customHeight="1"/>
    <row r="1045347" ht="10.5" customHeight="1"/>
    <row r="1045348" ht="10.5" customHeight="1"/>
    <row r="1045349" ht="10.5" customHeight="1"/>
    <row r="1045350" ht="10.5" customHeight="1"/>
    <row r="1045351" ht="10.5" customHeight="1"/>
    <row r="1045352" ht="10.5" customHeight="1"/>
    <row r="1045353" ht="10.5" customHeight="1"/>
    <row r="1045354" ht="10.5" customHeight="1"/>
    <row r="1045355" ht="10.5" customHeight="1"/>
    <row r="1045356" ht="10.5" customHeight="1"/>
    <row r="1045357" ht="10.5" customHeight="1"/>
    <row r="1045358" ht="10.5" customHeight="1"/>
    <row r="1045359" ht="10.5" customHeight="1"/>
    <row r="1045360" ht="10.5" customHeight="1"/>
    <row r="1045361" ht="10.5" customHeight="1"/>
    <row r="1045362" ht="10.5" customHeight="1"/>
    <row r="1045363" ht="10.5" customHeight="1"/>
    <row r="1045364" ht="10.5" customHeight="1"/>
    <row r="1045365" ht="10.5" customHeight="1"/>
    <row r="1045366" ht="10.5" customHeight="1"/>
    <row r="1045367" ht="10.5" customHeight="1"/>
    <row r="1045368" ht="10.5" customHeight="1"/>
    <row r="1045369" ht="10.5" customHeight="1"/>
    <row r="1045370" ht="10.5" customHeight="1"/>
    <row r="1045371" ht="10.5" customHeight="1"/>
    <row r="1045372" ht="10.5" customHeight="1"/>
    <row r="1045373" ht="10.5" customHeight="1"/>
    <row r="1045374" ht="10.5" customHeight="1"/>
    <row r="1045375" ht="10.5" customHeight="1"/>
    <row r="1045376" ht="10.5" customHeight="1"/>
    <row r="1045377" ht="10.5" customHeight="1"/>
    <row r="1045378" ht="10.5" customHeight="1"/>
    <row r="1045379" ht="10.5" customHeight="1"/>
    <row r="1045380" ht="10.5" customHeight="1"/>
    <row r="1045381" ht="10.5" customHeight="1"/>
    <row r="1045382" ht="10.5" customHeight="1"/>
    <row r="1045383" ht="10.5" customHeight="1"/>
    <row r="1045384" ht="10.5" customHeight="1"/>
    <row r="1045385" ht="10.5" customHeight="1"/>
    <row r="1045386" ht="10.5" customHeight="1"/>
    <row r="1045387" ht="10.5" customHeight="1"/>
    <row r="1045388" ht="10.5" customHeight="1"/>
    <row r="1045389" ht="10.5" customHeight="1"/>
    <row r="1045390" ht="10.5" customHeight="1"/>
    <row r="1045391" ht="10.5" customHeight="1"/>
    <row r="1045392" ht="10.5" customHeight="1"/>
    <row r="1045393" ht="10.5" customHeight="1"/>
    <row r="1045394" ht="10.5" customHeight="1"/>
    <row r="1045395" ht="10.5" customHeight="1"/>
    <row r="1045396" ht="10.5" customHeight="1"/>
    <row r="1045397" ht="10.5" customHeight="1"/>
    <row r="1045398" ht="10.5" customHeight="1"/>
    <row r="1045399" ht="10.5" customHeight="1"/>
    <row r="1045400" ht="10.5" customHeight="1"/>
    <row r="1045401" ht="10.5" customHeight="1"/>
    <row r="1045402" ht="10.5" customHeight="1"/>
    <row r="1045403" ht="10.5" customHeight="1"/>
    <row r="1045404" ht="10.5" customHeight="1"/>
    <row r="1045405" ht="10.5" customHeight="1"/>
    <row r="1045406" ht="10.5" customHeight="1"/>
    <row r="1045407" ht="10.5" customHeight="1"/>
    <row r="1045408" ht="10.5" customHeight="1"/>
    <row r="1045409" ht="10.5" customHeight="1"/>
    <row r="1045410" ht="10.5" customHeight="1"/>
    <row r="1045411" ht="10.5" customHeight="1"/>
    <row r="1045412" ht="10.5" customHeight="1"/>
    <row r="1045413" ht="10.5" customHeight="1"/>
    <row r="1045414" ht="10.5" customHeight="1"/>
    <row r="1045415" ht="10.5" customHeight="1"/>
    <row r="1045416" ht="10.5" customHeight="1"/>
    <row r="1045417" ht="10.5" customHeight="1"/>
    <row r="1045418" ht="10.5" customHeight="1"/>
    <row r="1045419" ht="10.5" customHeight="1"/>
    <row r="1045420" ht="10.5" customHeight="1"/>
    <row r="1045421" ht="10.5" customHeight="1"/>
    <row r="1045422" ht="10.5" customHeight="1"/>
    <row r="1045423" ht="10.5" customHeight="1"/>
    <row r="1045424" ht="10.5" customHeight="1"/>
    <row r="1045425" ht="10.5" customHeight="1"/>
    <row r="1045426" ht="10.5" customHeight="1"/>
    <row r="1045427" ht="10.5" customHeight="1"/>
    <row r="1045428" ht="10.5" customHeight="1"/>
    <row r="1045429" ht="10.5" customHeight="1"/>
    <row r="1045430" ht="10.5" customHeight="1"/>
    <row r="1045431" ht="10.5" customHeight="1"/>
    <row r="1045432" ht="10.5" customHeight="1"/>
    <row r="1045433" ht="10.5" customHeight="1"/>
    <row r="1045434" ht="10.5" customHeight="1"/>
    <row r="1045435" ht="10.5" customHeight="1"/>
    <row r="1045436" ht="10.5" customHeight="1"/>
    <row r="1045437" ht="10.5" customHeight="1"/>
    <row r="1045438" ht="10.5" customHeight="1"/>
    <row r="1045439" ht="10.5" customHeight="1"/>
    <row r="1045440" ht="10.5" customHeight="1"/>
    <row r="1045441" ht="10.5" customHeight="1"/>
    <row r="1045442" ht="10.5" customHeight="1"/>
    <row r="1045443" ht="10.5" customHeight="1"/>
    <row r="1045444" ht="10.5" customHeight="1"/>
    <row r="1045445" ht="10.5" customHeight="1"/>
    <row r="1045446" ht="10.5" customHeight="1"/>
    <row r="1045447" ht="10.5" customHeight="1"/>
    <row r="1045448" ht="10.5" customHeight="1"/>
    <row r="1045449" ht="10.5" customHeight="1"/>
    <row r="1045450" ht="10.5" customHeight="1"/>
    <row r="1045451" ht="10.5" customHeight="1"/>
    <row r="1045452" ht="10.5" customHeight="1"/>
    <row r="1045453" ht="10.5" customHeight="1"/>
    <row r="1045454" ht="10.5" customHeight="1"/>
    <row r="1045455" ht="10.5" customHeight="1"/>
    <row r="1045456" ht="10.5" customHeight="1"/>
    <row r="1045457" ht="10.5" customHeight="1"/>
    <row r="1045458" ht="10.5" customHeight="1"/>
    <row r="1045459" ht="10.5" customHeight="1"/>
    <row r="1045460" ht="10.5" customHeight="1"/>
    <row r="1045461" ht="10.5" customHeight="1"/>
    <row r="1045462" ht="10.5" customHeight="1"/>
    <row r="1045463" ht="10.5" customHeight="1"/>
    <row r="1045464" ht="10.5" customHeight="1"/>
    <row r="1045465" ht="10.5" customHeight="1"/>
    <row r="1045466" ht="10.5" customHeight="1"/>
    <row r="1045467" ht="10.5" customHeight="1"/>
    <row r="1045468" ht="10.5" customHeight="1"/>
    <row r="1045469" ht="10.5" customHeight="1"/>
    <row r="1045470" ht="10.5" customHeight="1"/>
    <row r="1045471" ht="10.5" customHeight="1"/>
    <row r="1045472" ht="10.5" customHeight="1"/>
    <row r="1045473" ht="10.5" customHeight="1"/>
    <row r="1045474" ht="10.5" customHeight="1"/>
    <row r="1045475" ht="10.5" customHeight="1"/>
    <row r="1045476" ht="10.5" customHeight="1"/>
    <row r="1045477" ht="10.5" customHeight="1"/>
    <row r="1045478" ht="10.5" customHeight="1"/>
    <row r="1045479" ht="10.5" customHeight="1"/>
    <row r="1045480" ht="10.5" customHeight="1"/>
    <row r="1045481" ht="10.5" customHeight="1"/>
    <row r="1045482" ht="10.5" customHeight="1"/>
    <row r="1045483" ht="10.5" customHeight="1"/>
    <row r="1045484" ht="10.5" customHeight="1"/>
    <row r="1045485" ht="10.5" customHeight="1"/>
    <row r="1045486" ht="10.5" customHeight="1"/>
    <row r="1045487" ht="10.5" customHeight="1"/>
    <row r="1045488" ht="10.5" customHeight="1"/>
    <row r="1045489" ht="10.5" customHeight="1"/>
    <row r="1045490" ht="10.5" customHeight="1"/>
    <row r="1045491" ht="10.5" customHeight="1"/>
    <row r="1045492" ht="10.5" customHeight="1"/>
    <row r="1045493" ht="10.5" customHeight="1"/>
    <row r="1045494" ht="10.5" customHeight="1"/>
    <row r="1045495" ht="10.5" customHeight="1"/>
    <row r="1045496" ht="10.5" customHeight="1"/>
    <row r="1045497" ht="10.5" customHeight="1"/>
    <row r="1045498" ht="10.5" customHeight="1"/>
    <row r="1045499" ht="10.5" customHeight="1"/>
    <row r="1045500" ht="10.5" customHeight="1"/>
    <row r="1045501" ht="10.5" customHeight="1"/>
    <row r="1045502" ht="10.5" customHeight="1"/>
    <row r="1045503" ht="10.5" customHeight="1"/>
    <row r="1045504" ht="10.5" customHeight="1"/>
    <row r="1045505" ht="10.5" customHeight="1"/>
    <row r="1045506" ht="10.5" customHeight="1"/>
    <row r="1045507" ht="10.5" customHeight="1"/>
    <row r="1045508" ht="10.5" customHeight="1"/>
    <row r="1045509" ht="10.5" customHeight="1"/>
    <row r="1045510" ht="10.5" customHeight="1"/>
    <row r="1045511" ht="10.5" customHeight="1"/>
    <row r="1045512" ht="10.5" customHeight="1"/>
    <row r="1045513" ht="10.5" customHeight="1"/>
    <row r="1045514" ht="10.5" customHeight="1"/>
    <row r="1045515" ht="10.5" customHeight="1"/>
    <row r="1045516" ht="10.5" customHeight="1"/>
    <row r="1045517" ht="10.5" customHeight="1"/>
    <row r="1045518" ht="10.5" customHeight="1"/>
    <row r="1045519" ht="10.5" customHeight="1"/>
    <row r="1045520" ht="10.5" customHeight="1"/>
    <row r="1045521" ht="10.5" customHeight="1"/>
    <row r="1045522" ht="10.5" customHeight="1"/>
    <row r="1045523" ht="10.5" customHeight="1"/>
    <row r="1045524" ht="10.5" customHeight="1"/>
    <row r="1045525" ht="10.5" customHeight="1"/>
    <row r="1045526" ht="10.5" customHeight="1"/>
    <row r="1045527" ht="10.5" customHeight="1"/>
    <row r="1045528" ht="10.5" customHeight="1"/>
    <row r="1045529" ht="10.5" customHeight="1"/>
    <row r="1045530" ht="10.5" customHeight="1"/>
    <row r="1045531" ht="10.5" customHeight="1"/>
    <row r="1045532" ht="10.5" customHeight="1"/>
    <row r="1045533" ht="10.5" customHeight="1"/>
    <row r="1045534" ht="10.5" customHeight="1"/>
    <row r="1045535" ht="10.5" customHeight="1"/>
    <row r="1045536" ht="10.5" customHeight="1"/>
    <row r="1045537" ht="10.5" customHeight="1"/>
    <row r="1045538" ht="10.5" customHeight="1"/>
    <row r="1045539" ht="10.5" customHeight="1"/>
    <row r="1045540" ht="10.5" customHeight="1"/>
    <row r="1045541" ht="10.5" customHeight="1"/>
    <row r="1045542" ht="10.5" customHeight="1"/>
    <row r="1045543" ht="10.5" customHeight="1"/>
    <row r="1045544" ht="10.5" customHeight="1"/>
    <row r="1045545" ht="10.5" customHeight="1"/>
    <row r="1045546" ht="10.5" customHeight="1"/>
    <row r="1045547" ht="10.5" customHeight="1"/>
    <row r="1045548" ht="10.5" customHeight="1"/>
    <row r="1045549" ht="10.5" customHeight="1"/>
    <row r="1045550" ht="10.5" customHeight="1"/>
    <row r="1045551" ht="10.5" customHeight="1"/>
    <row r="1045552" ht="10.5" customHeight="1"/>
    <row r="1045553" ht="10.5" customHeight="1"/>
    <row r="1045554" ht="10.5" customHeight="1"/>
    <row r="1045555" ht="10.5" customHeight="1"/>
    <row r="1045556" ht="10.5" customHeight="1"/>
    <row r="1045557" ht="10.5" customHeight="1"/>
    <row r="1045558" ht="10.5" customHeight="1"/>
    <row r="1045559" ht="10.5" customHeight="1"/>
    <row r="1045560" ht="10.5" customHeight="1"/>
    <row r="1045561" ht="10.5" customHeight="1"/>
    <row r="1045562" ht="10.5" customHeight="1"/>
    <row r="1045563" ht="10.5" customHeight="1"/>
    <row r="1045564" ht="10.5" customHeight="1"/>
    <row r="1045565" ht="10.5" customHeight="1"/>
    <row r="1045566" ht="10.5" customHeight="1"/>
    <row r="1045567" ht="10.5" customHeight="1"/>
    <row r="1045568" ht="10.5" customHeight="1"/>
    <row r="1045569" ht="10.5" customHeight="1"/>
    <row r="1045570" ht="10.5" customHeight="1"/>
    <row r="1045571" ht="10.5" customHeight="1"/>
    <row r="1045572" ht="10.5" customHeight="1"/>
    <row r="1045573" ht="10.5" customHeight="1"/>
    <row r="1045574" ht="10.5" customHeight="1"/>
    <row r="1045575" ht="10.5" customHeight="1"/>
    <row r="1045576" ht="10.5" customHeight="1"/>
    <row r="1045577" ht="10.5" customHeight="1"/>
    <row r="1045578" ht="10.5" customHeight="1"/>
    <row r="1045579" ht="10.5" customHeight="1"/>
    <row r="1045580" ht="10.5" customHeight="1"/>
    <row r="1045581" ht="10.5" customHeight="1"/>
    <row r="1045582" ht="10.5" customHeight="1"/>
    <row r="1045583" ht="10.5" customHeight="1"/>
    <row r="1045584" ht="10.5" customHeight="1"/>
    <row r="1045585" ht="10.5" customHeight="1"/>
    <row r="1045586" ht="10.5" customHeight="1"/>
    <row r="1045587" ht="10.5" customHeight="1"/>
    <row r="1045588" ht="10.5" customHeight="1"/>
    <row r="1045589" ht="10.5" customHeight="1"/>
    <row r="1045590" ht="10.5" customHeight="1"/>
    <row r="1045591" ht="10.5" customHeight="1"/>
    <row r="1045592" ht="10.5" customHeight="1"/>
    <row r="1045593" ht="10.5" customHeight="1"/>
    <row r="1045594" ht="10.5" customHeight="1"/>
    <row r="1045595" ht="10.5" customHeight="1"/>
    <row r="1045596" ht="10.5" customHeight="1"/>
    <row r="1045597" ht="10.5" customHeight="1"/>
    <row r="1045598" ht="10.5" customHeight="1"/>
    <row r="1045599" ht="10.5" customHeight="1"/>
    <row r="1045600" ht="10.5" customHeight="1"/>
    <row r="1045601" ht="10.5" customHeight="1"/>
    <row r="1045602" ht="10.5" customHeight="1"/>
    <row r="1045603" ht="10.5" customHeight="1"/>
    <row r="1045604" ht="10.5" customHeight="1"/>
    <row r="1045605" ht="10.5" customHeight="1"/>
    <row r="1045606" ht="10.5" customHeight="1"/>
    <row r="1045607" ht="10.5" customHeight="1"/>
    <row r="1045608" ht="10.5" customHeight="1"/>
    <row r="1045609" ht="10.5" customHeight="1"/>
    <row r="1045610" ht="10.5" customHeight="1"/>
    <row r="1045611" ht="10.5" customHeight="1"/>
    <row r="1045612" ht="10.5" customHeight="1"/>
    <row r="1045613" ht="10.5" customHeight="1"/>
    <row r="1045614" ht="10.5" customHeight="1"/>
    <row r="1045615" ht="10.5" customHeight="1"/>
    <row r="1045616" ht="10.5" customHeight="1"/>
    <row r="1045617" ht="10.5" customHeight="1"/>
    <row r="1045618" ht="10.5" customHeight="1"/>
    <row r="1045619" ht="10.5" customHeight="1"/>
    <row r="1045620" ht="10.5" customHeight="1"/>
    <row r="1045621" ht="10.5" customHeight="1"/>
    <row r="1045622" ht="10.5" customHeight="1"/>
    <row r="1045623" ht="10.5" customHeight="1"/>
    <row r="1045624" ht="10.5" customHeight="1"/>
    <row r="1045625" ht="10.5" customHeight="1"/>
    <row r="1045626" ht="10.5" customHeight="1"/>
    <row r="1045627" ht="10.5" customHeight="1"/>
    <row r="1045628" ht="10.5" customHeight="1"/>
    <row r="1045629" ht="10.5" customHeight="1"/>
    <row r="1045630" ht="10.5" customHeight="1"/>
    <row r="1045631" ht="10.5" customHeight="1"/>
    <row r="1045632" ht="10.5" customHeight="1"/>
    <row r="1045633" ht="10.5" customHeight="1"/>
    <row r="1045634" ht="10.5" customHeight="1"/>
    <row r="1045635" ht="10.5" customHeight="1"/>
    <row r="1045636" ht="10.5" customHeight="1"/>
    <row r="1045637" ht="10.5" customHeight="1"/>
    <row r="1045638" ht="10.5" customHeight="1"/>
    <row r="1045639" ht="10.5" customHeight="1"/>
    <row r="1045640" ht="10.5" customHeight="1"/>
    <row r="1045641" ht="10.5" customHeight="1"/>
    <row r="1045642" ht="10.5" customHeight="1"/>
    <row r="1045643" ht="10.5" customHeight="1"/>
    <row r="1045644" ht="10.5" customHeight="1"/>
    <row r="1045645" ht="10.5" customHeight="1"/>
    <row r="1045646" ht="10.5" customHeight="1"/>
    <row r="1045647" ht="10.5" customHeight="1"/>
    <row r="1045648" ht="10.5" customHeight="1"/>
    <row r="1045649" ht="10.5" customHeight="1"/>
    <row r="1045650" ht="10.5" customHeight="1"/>
    <row r="1045651" ht="10.5" customHeight="1"/>
    <row r="1045652" ht="10.5" customHeight="1"/>
    <row r="1045653" ht="10.5" customHeight="1"/>
    <row r="1045654" ht="10.5" customHeight="1"/>
    <row r="1045655" ht="10.5" customHeight="1"/>
    <row r="1045656" ht="10.5" customHeight="1"/>
    <row r="1045657" ht="10.5" customHeight="1"/>
    <row r="1045658" ht="10.5" customHeight="1"/>
    <row r="1045659" ht="10.5" customHeight="1"/>
    <row r="1045660" ht="10.5" customHeight="1"/>
    <row r="1045661" ht="10.5" customHeight="1"/>
    <row r="1045662" ht="10.5" customHeight="1"/>
    <row r="1045663" ht="10.5" customHeight="1"/>
    <row r="1045664" ht="10.5" customHeight="1"/>
    <row r="1045665" ht="10.5" customHeight="1"/>
    <row r="1045666" ht="10.5" customHeight="1"/>
    <row r="1045667" ht="10.5" customHeight="1"/>
    <row r="1045668" ht="10.5" customHeight="1"/>
    <row r="1045669" ht="10.5" customHeight="1"/>
    <row r="1045670" ht="10.5" customHeight="1"/>
    <row r="1045671" ht="10.5" customHeight="1"/>
    <row r="1045672" ht="10.5" customHeight="1"/>
    <row r="1045673" ht="10.5" customHeight="1"/>
    <row r="1045674" ht="10.5" customHeight="1"/>
    <row r="1045675" ht="10.5" customHeight="1"/>
    <row r="1045676" ht="10.5" customHeight="1"/>
    <row r="1045677" ht="10.5" customHeight="1"/>
    <row r="1045678" ht="10.5" customHeight="1"/>
    <row r="1045679" ht="10.5" customHeight="1"/>
    <row r="1045680" ht="10.5" customHeight="1"/>
    <row r="1045681" ht="10.5" customHeight="1"/>
    <row r="1045682" ht="10.5" customHeight="1"/>
    <row r="1045683" ht="10.5" customHeight="1"/>
    <row r="1045684" ht="10.5" customHeight="1"/>
    <row r="1045685" ht="10.5" customHeight="1"/>
    <row r="1045686" ht="10.5" customHeight="1"/>
    <row r="1045687" ht="10.5" customHeight="1"/>
    <row r="1045688" ht="10.5" customHeight="1"/>
    <row r="1045689" ht="10.5" customHeight="1"/>
    <row r="1045690" ht="10.5" customHeight="1"/>
    <row r="1045691" ht="10.5" customHeight="1"/>
    <row r="1045692" ht="10.5" customHeight="1"/>
    <row r="1045693" ht="10.5" customHeight="1"/>
    <row r="1045694" ht="10.5" customHeight="1"/>
    <row r="1045695" ht="10.5" customHeight="1"/>
    <row r="1045696" ht="10.5" customHeight="1"/>
    <row r="1045697" ht="10.5" customHeight="1"/>
    <row r="1045698" ht="10.5" customHeight="1"/>
    <row r="1045699" ht="10.5" customHeight="1"/>
    <row r="1045700" ht="10.5" customHeight="1"/>
    <row r="1045701" ht="10.5" customHeight="1"/>
    <row r="1045702" ht="10.5" customHeight="1"/>
    <row r="1045703" ht="10.5" customHeight="1"/>
    <row r="1045704" ht="10.5" customHeight="1"/>
    <row r="1045705" ht="10.5" customHeight="1"/>
    <row r="1045706" ht="10.5" customHeight="1"/>
    <row r="1045707" ht="10.5" customHeight="1"/>
    <row r="1045708" ht="10.5" customHeight="1"/>
    <row r="1045709" ht="10.5" customHeight="1"/>
    <row r="1045710" ht="10.5" customHeight="1"/>
    <row r="1045711" ht="10.5" customHeight="1"/>
    <row r="1045712" ht="10.5" customHeight="1"/>
    <row r="1045713" ht="10.5" customHeight="1"/>
    <row r="1045714" ht="10.5" customHeight="1"/>
    <row r="1045715" ht="10.5" customHeight="1"/>
    <row r="1045716" ht="10.5" customHeight="1"/>
    <row r="1045717" ht="10.5" customHeight="1"/>
    <row r="1045718" ht="10.5" customHeight="1"/>
    <row r="1045719" ht="10.5" customHeight="1"/>
    <row r="1045720" ht="10.5" customHeight="1"/>
    <row r="1045721" ht="10.5" customHeight="1"/>
    <row r="1045722" ht="10.5" customHeight="1"/>
    <row r="1045723" ht="10.5" customHeight="1"/>
    <row r="1045724" ht="10.5" customHeight="1"/>
    <row r="1045725" ht="10.5" customHeight="1"/>
    <row r="1045726" ht="10.5" customHeight="1"/>
    <row r="1045727" ht="10.5" customHeight="1"/>
    <row r="1045728" ht="10.5" customHeight="1"/>
    <row r="1045729" ht="10.5" customHeight="1"/>
    <row r="1045730" ht="10.5" customHeight="1"/>
    <row r="1045731" ht="10.5" customHeight="1"/>
    <row r="1045732" ht="10.5" customHeight="1"/>
    <row r="1045733" ht="10.5" customHeight="1"/>
    <row r="1045734" ht="10.5" customHeight="1"/>
    <row r="1045735" ht="10.5" customHeight="1"/>
    <row r="1045736" ht="10.5" customHeight="1"/>
    <row r="1045737" ht="10.5" customHeight="1"/>
    <row r="1045738" ht="10.5" customHeight="1"/>
    <row r="1045739" ht="10.5" customHeight="1"/>
    <row r="1045740" ht="10.5" customHeight="1"/>
    <row r="1045741" ht="10.5" customHeight="1"/>
    <row r="1045742" ht="10.5" customHeight="1"/>
    <row r="1045743" ht="10.5" customHeight="1"/>
    <row r="1045744" ht="10.5" customHeight="1"/>
    <row r="1045745" ht="10.5" customHeight="1"/>
    <row r="1045746" ht="10.5" customHeight="1"/>
    <row r="1045747" ht="10.5" customHeight="1"/>
    <row r="1045748" ht="10.5" customHeight="1"/>
    <row r="1045749" ht="10.5" customHeight="1"/>
    <row r="1045750" ht="10.5" customHeight="1"/>
    <row r="1045751" ht="10.5" customHeight="1"/>
    <row r="1045752" ht="10.5" customHeight="1"/>
    <row r="1045753" ht="10.5" customHeight="1"/>
    <row r="1045754" ht="10.5" customHeight="1"/>
    <row r="1045755" ht="10.5" customHeight="1"/>
    <row r="1045756" ht="10.5" customHeight="1"/>
    <row r="1045757" ht="10.5" customHeight="1"/>
    <row r="1045758" ht="10.5" customHeight="1"/>
    <row r="1045759" ht="10.5" customHeight="1"/>
    <row r="1045760" ht="10.5" customHeight="1"/>
    <row r="1045761" ht="10.5" customHeight="1"/>
    <row r="1045762" ht="10.5" customHeight="1"/>
    <row r="1045763" ht="10.5" customHeight="1"/>
    <row r="1045764" ht="10.5" customHeight="1"/>
    <row r="1045765" ht="10.5" customHeight="1"/>
    <row r="1045766" ht="10.5" customHeight="1"/>
    <row r="1045767" ht="10.5" customHeight="1"/>
    <row r="1045768" ht="10.5" customHeight="1"/>
    <row r="1045769" ht="10.5" customHeight="1"/>
    <row r="1045770" ht="10.5" customHeight="1"/>
    <row r="1045771" ht="10.5" customHeight="1"/>
    <row r="1045772" ht="10.5" customHeight="1"/>
    <row r="1045773" ht="10.5" customHeight="1"/>
    <row r="1045774" ht="10.5" customHeight="1"/>
    <row r="1045775" ht="10.5" customHeight="1"/>
    <row r="1045776" ht="10.5" customHeight="1"/>
    <row r="1045777" ht="10.5" customHeight="1"/>
    <row r="1045778" ht="10.5" customHeight="1"/>
    <row r="1045779" ht="10.5" customHeight="1"/>
    <row r="1045780" ht="10.5" customHeight="1"/>
    <row r="1045781" ht="10.5" customHeight="1"/>
    <row r="1045782" ht="10.5" customHeight="1"/>
    <row r="1045783" ht="10.5" customHeight="1"/>
    <row r="1045784" ht="10.5" customHeight="1"/>
    <row r="1045785" ht="10.5" customHeight="1"/>
    <row r="1045786" ht="10.5" customHeight="1"/>
    <row r="1045787" ht="10.5" customHeight="1"/>
    <row r="1045788" ht="10.5" customHeight="1"/>
    <row r="1045789" ht="10.5" customHeight="1"/>
    <row r="1045790" ht="10.5" customHeight="1"/>
    <row r="1045791" ht="10.5" customHeight="1"/>
    <row r="1045792" ht="10.5" customHeight="1"/>
    <row r="1045793" ht="10.5" customHeight="1"/>
    <row r="1045794" ht="10.5" customHeight="1"/>
    <row r="1045795" ht="10.5" customHeight="1"/>
    <row r="1045796" ht="10.5" customHeight="1"/>
    <row r="1045797" ht="10.5" customHeight="1"/>
    <row r="1045798" ht="10.5" customHeight="1"/>
    <row r="1045799" ht="10.5" customHeight="1"/>
    <row r="1045800" ht="10.5" customHeight="1"/>
    <row r="1045801" ht="10.5" customHeight="1"/>
    <row r="1045802" ht="10.5" customHeight="1"/>
    <row r="1045803" ht="10.5" customHeight="1"/>
    <row r="1045804" ht="10.5" customHeight="1"/>
    <row r="1045805" ht="10.5" customHeight="1"/>
    <row r="1045806" ht="10.5" customHeight="1"/>
    <row r="1045807" ht="10.5" customHeight="1"/>
    <row r="1045808" ht="10.5" customHeight="1"/>
    <row r="1045809" ht="10.5" customHeight="1"/>
    <row r="1045810" ht="10.5" customHeight="1"/>
    <row r="1045811" ht="10.5" customHeight="1"/>
    <row r="1045812" ht="10.5" customHeight="1"/>
    <row r="1045813" ht="10.5" customHeight="1"/>
    <row r="1045814" ht="10.5" customHeight="1"/>
    <row r="1045815" ht="10.5" customHeight="1"/>
    <row r="1045816" ht="10.5" customHeight="1"/>
    <row r="1045817" ht="10.5" customHeight="1"/>
    <row r="1045818" ht="10.5" customHeight="1"/>
    <row r="1045819" ht="10.5" customHeight="1"/>
    <row r="1045820" ht="10.5" customHeight="1"/>
    <row r="1045821" ht="10.5" customHeight="1"/>
    <row r="1045822" ht="10.5" customHeight="1"/>
    <row r="1045823" ht="10.5" customHeight="1"/>
    <row r="1045824" ht="10.5" customHeight="1"/>
    <row r="1045825" ht="10.5" customHeight="1"/>
    <row r="1045826" ht="10.5" customHeight="1"/>
    <row r="1045827" ht="10.5" customHeight="1"/>
    <row r="1045828" ht="10.5" customHeight="1"/>
    <row r="1045829" ht="10.5" customHeight="1"/>
    <row r="1045830" ht="10.5" customHeight="1"/>
    <row r="1045831" ht="10.5" customHeight="1"/>
    <row r="1045832" ht="10.5" customHeight="1"/>
    <row r="1045833" ht="10.5" customHeight="1"/>
    <row r="1045834" ht="10.5" customHeight="1"/>
    <row r="1045835" ht="10.5" customHeight="1"/>
    <row r="1045836" ht="10.5" customHeight="1"/>
    <row r="1045837" ht="10.5" customHeight="1"/>
    <row r="1045838" ht="10.5" customHeight="1"/>
    <row r="1045839" ht="10.5" customHeight="1"/>
    <row r="1045840" ht="10.5" customHeight="1"/>
    <row r="1045841" ht="10.5" customHeight="1"/>
    <row r="1045842" ht="10.5" customHeight="1"/>
    <row r="1045843" ht="10.5" customHeight="1"/>
    <row r="1045844" ht="10.5" customHeight="1"/>
    <row r="1045845" ht="10.5" customHeight="1"/>
    <row r="1045846" ht="10.5" customHeight="1"/>
    <row r="1045847" ht="10.5" customHeight="1"/>
    <row r="1045848" ht="10.5" customHeight="1"/>
    <row r="1045849" ht="10.5" customHeight="1"/>
    <row r="1045850" ht="10.5" customHeight="1"/>
    <row r="1045851" ht="10.5" customHeight="1"/>
    <row r="1045852" ht="10.5" customHeight="1"/>
    <row r="1045853" ht="10.5" customHeight="1"/>
    <row r="1045854" ht="10.5" customHeight="1"/>
    <row r="1045855" ht="10.5" customHeight="1"/>
    <row r="1045856" ht="10.5" customHeight="1"/>
    <row r="1045857" ht="10.5" customHeight="1"/>
    <row r="1045858" ht="10.5" customHeight="1"/>
    <row r="1045859" ht="10.5" customHeight="1"/>
    <row r="1045860" ht="10.5" customHeight="1"/>
    <row r="1045861" ht="10.5" customHeight="1"/>
    <row r="1045862" ht="10.5" customHeight="1"/>
    <row r="1045863" ht="10.5" customHeight="1"/>
    <row r="1045864" ht="10.5" customHeight="1"/>
    <row r="1045865" ht="10.5" customHeight="1"/>
    <row r="1045866" ht="10.5" customHeight="1"/>
    <row r="1045867" ht="10.5" customHeight="1"/>
    <row r="1045868" ht="10.5" customHeight="1"/>
    <row r="1045869" ht="10.5" customHeight="1"/>
    <row r="1045870" ht="10.5" customHeight="1"/>
    <row r="1045871" ht="10.5" customHeight="1"/>
    <row r="1045872" ht="10.5" customHeight="1"/>
    <row r="1045873" ht="10.5" customHeight="1"/>
    <row r="1045874" ht="10.5" customHeight="1"/>
    <row r="1045875" ht="10.5" customHeight="1"/>
    <row r="1045876" ht="10.5" customHeight="1"/>
    <row r="1045877" ht="10.5" customHeight="1"/>
    <row r="1045878" ht="10.5" customHeight="1"/>
    <row r="1045879" ht="10.5" customHeight="1"/>
    <row r="1045880" ht="10.5" customHeight="1"/>
    <row r="1045881" ht="10.5" customHeight="1"/>
    <row r="1045882" ht="10.5" customHeight="1"/>
    <row r="1045883" ht="10.5" customHeight="1"/>
    <row r="1045884" ht="10.5" customHeight="1"/>
    <row r="1045885" ht="10.5" customHeight="1"/>
    <row r="1045886" ht="10.5" customHeight="1"/>
    <row r="1045887" ht="10.5" customHeight="1"/>
    <row r="1045888" ht="10.5" customHeight="1"/>
    <row r="1045889" ht="10.5" customHeight="1"/>
    <row r="1045890" ht="10.5" customHeight="1"/>
    <row r="1045891" ht="10.5" customHeight="1"/>
    <row r="1045892" ht="10.5" customHeight="1"/>
    <row r="1045893" ht="10.5" customHeight="1"/>
    <row r="1045894" ht="10.5" customHeight="1"/>
    <row r="1045895" ht="10.5" customHeight="1"/>
    <row r="1045896" ht="10.5" customHeight="1"/>
    <row r="1045897" ht="10.5" customHeight="1"/>
    <row r="1045898" ht="10.5" customHeight="1"/>
    <row r="1045899" ht="10.5" customHeight="1"/>
    <row r="1045900" ht="10.5" customHeight="1"/>
    <row r="1045901" ht="10.5" customHeight="1"/>
    <row r="1045902" ht="10.5" customHeight="1"/>
    <row r="1045903" ht="10.5" customHeight="1"/>
    <row r="1045904" ht="10.5" customHeight="1"/>
    <row r="1045905" ht="10.5" customHeight="1"/>
    <row r="1045906" ht="10.5" customHeight="1"/>
    <row r="1045907" ht="10.5" customHeight="1"/>
    <row r="1045908" ht="10.5" customHeight="1"/>
    <row r="1045909" ht="10.5" customHeight="1"/>
    <row r="1045910" ht="10.5" customHeight="1"/>
    <row r="1045911" ht="10.5" customHeight="1"/>
    <row r="1045912" ht="10.5" customHeight="1"/>
    <row r="1045913" ht="10.5" customHeight="1"/>
    <row r="1045914" ht="10.5" customHeight="1"/>
    <row r="1045915" ht="10.5" customHeight="1"/>
    <row r="1045916" ht="10.5" customHeight="1"/>
    <row r="1045917" ht="10.5" customHeight="1"/>
    <row r="1045918" ht="10.5" customHeight="1"/>
    <row r="1045919" ht="10.5" customHeight="1"/>
    <row r="1045920" ht="10.5" customHeight="1"/>
    <row r="1045921" ht="10.5" customHeight="1"/>
    <row r="1045922" ht="10.5" customHeight="1"/>
    <row r="1045923" ht="10.5" customHeight="1"/>
    <row r="1045924" ht="10.5" customHeight="1"/>
    <row r="1045925" ht="10.5" customHeight="1"/>
    <row r="1045926" ht="10.5" customHeight="1"/>
    <row r="1045927" ht="10.5" customHeight="1"/>
    <row r="1045928" ht="10.5" customHeight="1"/>
    <row r="1045929" ht="10.5" customHeight="1"/>
    <row r="1045930" ht="10.5" customHeight="1"/>
    <row r="1045931" ht="10.5" customHeight="1"/>
    <row r="1045932" ht="10.5" customHeight="1"/>
    <row r="1045933" ht="10.5" customHeight="1"/>
    <row r="1045934" ht="10.5" customHeight="1"/>
    <row r="1045935" ht="10.5" customHeight="1"/>
    <row r="1045936" ht="10.5" customHeight="1"/>
    <row r="1045937" ht="10.5" customHeight="1"/>
    <row r="1045938" ht="10.5" customHeight="1"/>
    <row r="1045939" ht="10.5" customHeight="1"/>
    <row r="1045940" ht="10.5" customHeight="1"/>
    <row r="1045941" ht="10.5" customHeight="1"/>
    <row r="1045942" ht="10.5" customHeight="1"/>
    <row r="1045943" ht="10.5" customHeight="1"/>
    <row r="1045944" ht="10.5" customHeight="1"/>
    <row r="1045945" ht="10.5" customHeight="1"/>
    <row r="1045946" ht="10.5" customHeight="1"/>
    <row r="1045947" ht="10.5" customHeight="1"/>
    <row r="1045948" ht="10.5" customHeight="1"/>
    <row r="1045949" ht="10.5" customHeight="1"/>
    <row r="1045950" ht="10.5" customHeight="1"/>
    <row r="1045951" ht="10.5" customHeight="1"/>
    <row r="1045952" ht="10.5" customHeight="1"/>
    <row r="1045953" ht="10.5" customHeight="1"/>
    <row r="1045954" ht="10.5" customHeight="1"/>
    <row r="1045955" ht="10.5" customHeight="1"/>
    <row r="1045956" ht="10.5" customHeight="1"/>
    <row r="1045957" ht="10.5" customHeight="1"/>
    <row r="1045958" ht="10.5" customHeight="1"/>
    <row r="1045959" ht="10.5" customHeight="1"/>
    <row r="1045960" ht="10.5" customHeight="1"/>
    <row r="1045961" ht="10.5" customHeight="1"/>
    <row r="1045962" ht="10.5" customHeight="1"/>
    <row r="1045963" ht="10.5" customHeight="1"/>
    <row r="1045964" ht="10.5" customHeight="1"/>
    <row r="1045965" ht="10.5" customHeight="1"/>
    <row r="1045966" ht="10.5" customHeight="1"/>
    <row r="1045967" ht="10.5" customHeight="1"/>
    <row r="1045968" ht="10.5" customHeight="1"/>
    <row r="1045969" ht="10.5" customHeight="1"/>
    <row r="1045970" ht="10.5" customHeight="1"/>
    <row r="1045971" ht="10.5" customHeight="1"/>
    <row r="1045972" ht="10.5" customHeight="1"/>
    <row r="1045973" ht="10.5" customHeight="1"/>
    <row r="1045974" ht="10.5" customHeight="1"/>
    <row r="1045975" ht="10.5" customHeight="1"/>
    <row r="1045976" ht="10.5" customHeight="1"/>
    <row r="1045977" ht="10.5" customHeight="1"/>
    <row r="1045978" ht="10.5" customHeight="1"/>
    <row r="1045979" ht="10.5" customHeight="1"/>
    <row r="1045980" ht="10.5" customHeight="1"/>
    <row r="1045981" ht="10.5" customHeight="1"/>
    <row r="1045982" ht="10.5" customHeight="1"/>
    <row r="1045983" ht="10.5" customHeight="1"/>
    <row r="1045984" ht="10.5" customHeight="1"/>
    <row r="1045985" ht="10.5" customHeight="1"/>
    <row r="1045986" ht="10.5" customHeight="1"/>
    <row r="1045987" ht="10.5" customHeight="1"/>
    <row r="1045988" ht="10.5" customHeight="1"/>
    <row r="1045989" ht="10.5" customHeight="1"/>
    <row r="1045990" ht="10.5" customHeight="1"/>
    <row r="1045991" ht="10.5" customHeight="1"/>
    <row r="1045992" ht="10.5" customHeight="1"/>
    <row r="1045993" ht="10.5" customHeight="1"/>
    <row r="1045994" ht="10.5" customHeight="1"/>
    <row r="1045995" ht="10.5" customHeight="1"/>
    <row r="1045996" ht="10.5" customHeight="1"/>
    <row r="1045997" ht="10.5" customHeight="1"/>
    <row r="1045998" ht="10.5" customHeight="1"/>
    <row r="1045999" ht="10.5" customHeight="1"/>
    <row r="1046000" ht="10.5" customHeight="1"/>
    <row r="1046001" ht="10.5" customHeight="1"/>
    <row r="1046002" ht="10.5" customHeight="1"/>
    <row r="1046003" ht="10.5" customHeight="1"/>
    <row r="1046004" ht="10.5" customHeight="1"/>
    <row r="1046005" ht="10.5" customHeight="1"/>
    <row r="1046006" ht="10.5" customHeight="1"/>
    <row r="1046007" ht="10.5" customHeight="1"/>
    <row r="1046008" ht="10.5" customHeight="1"/>
    <row r="1046009" ht="10.5" customHeight="1"/>
    <row r="1046010" ht="10.5" customHeight="1"/>
    <row r="1046011" ht="10.5" customHeight="1"/>
    <row r="1046012" ht="10.5" customHeight="1"/>
    <row r="1046013" ht="10.5" customHeight="1"/>
    <row r="1046014" ht="10.5" customHeight="1"/>
    <row r="1046015" ht="10.5" customHeight="1"/>
    <row r="1046016" ht="10.5" customHeight="1"/>
    <row r="1046017" ht="10.5" customHeight="1"/>
    <row r="1046018" ht="10.5" customHeight="1"/>
    <row r="1046019" ht="10.5" customHeight="1"/>
    <row r="1046020" ht="10.5" customHeight="1"/>
    <row r="1046021" ht="10.5" customHeight="1"/>
    <row r="1046022" ht="10.5" customHeight="1"/>
    <row r="1046023" ht="10.5" customHeight="1"/>
    <row r="1046024" ht="10.5" customHeight="1"/>
    <row r="1046025" ht="10.5" customHeight="1"/>
    <row r="1046026" ht="10.5" customHeight="1"/>
    <row r="1046027" ht="10.5" customHeight="1"/>
    <row r="1046028" ht="10.5" customHeight="1"/>
    <row r="1046029" ht="10.5" customHeight="1"/>
    <row r="1046030" ht="10.5" customHeight="1"/>
    <row r="1046031" ht="10.5" customHeight="1"/>
    <row r="1046032" ht="10.5" customHeight="1"/>
    <row r="1046033" ht="10.5" customHeight="1"/>
    <row r="1046034" ht="10.5" customHeight="1"/>
    <row r="1046035" ht="10.5" customHeight="1"/>
    <row r="1046036" ht="10.5" customHeight="1"/>
    <row r="1046037" ht="10.5" customHeight="1"/>
    <row r="1046038" ht="10.5" customHeight="1"/>
    <row r="1046039" ht="10.5" customHeight="1"/>
    <row r="1046040" ht="10.5" customHeight="1"/>
    <row r="1046041" ht="10.5" customHeight="1"/>
    <row r="1046042" ht="10.5" customHeight="1"/>
    <row r="1046043" ht="10.5" customHeight="1"/>
    <row r="1046044" ht="10.5" customHeight="1"/>
    <row r="1046045" ht="10.5" customHeight="1"/>
    <row r="1046046" ht="10.5" customHeight="1"/>
    <row r="1046047" ht="10.5" customHeight="1"/>
    <row r="1046048" ht="10.5" customHeight="1"/>
    <row r="1046049" ht="10.5" customHeight="1"/>
    <row r="1046050" ht="10.5" customHeight="1"/>
    <row r="1046051" ht="10.5" customHeight="1"/>
    <row r="1046052" ht="10.5" customHeight="1"/>
    <row r="1046053" ht="10.5" customHeight="1"/>
    <row r="1046054" ht="10.5" customHeight="1"/>
    <row r="1046055" ht="10.5" customHeight="1"/>
    <row r="1046056" ht="10.5" customHeight="1"/>
    <row r="1046057" ht="10.5" customHeight="1"/>
    <row r="1046058" ht="10.5" customHeight="1"/>
    <row r="1046059" ht="10.5" customHeight="1"/>
    <row r="1046060" ht="10.5" customHeight="1"/>
    <row r="1046061" ht="10.5" customHeight="1"/>
    <row r="1046062" ht="10.5" customHeight="1"/>
    <row r="1046063" ht="10.5" customHeight="1"/>
    <row r="1046064" ht="10.5" customHeight="1"/>
    <row r="1046065" ht="10.5" customHeight="1"/>
    <row r="1046066" ht="10.5" customHeight="1"/>
    <row r="1046067" ht="10.5" customHeight="1"/>
    <row r="1046068" ht="10.5" customHeight="1"/>
    <row r="1046069" ht="10.5" customHeight="1"/>
    <row r="1046070" ht="10.5" customHeight="1"/>
    <row r="1046071" ht="10.5" customHeight="1"/>
    <row r="1046072" ht="10.5" customHeight="1"/>
    <row r="1046073" ht="10.5" customHeight="1"/>
    <row r="1046074" ht="10.5" customHeight="1"/>
    <row r="1046075" ht="10.5" customHeight="1"/>
    <row r="1046076" ht="10.5" customHeight="1"/>
    <row r="1046077" ht="10.5" customHeight="1"/>
    <row r="1046078" ht="10.5" customHeight="1"/>
    <row r="1046079" ht="10.5" customHeight="1"/>
    <row r="1046080" ht="10.5" customHeight="1"/>
    <row r="1046081" ht="10.5" customHeight="1"/>
    <row r="1046082" ht="10.5" customHeight="1"/>
    <row r="1046083" ht="10.5" customHeight="1"/>
    <row r="1046084" ht="10.5" customHeight="1"/>
    <row r="1046085" ht="10.5" customHeight="1"/>
    <row r="1046086" ht="10.5" customHeight="1"/>
    <row r="1046087" ht="10.5" customHeight="1"/>
    <row r="1046088" ht="10.5" customHeight="1"/>
    <row r="1046089" ht="10.5" customHeight="1"/>
    <row r="1046090" ht="10.5" customHeight="1"/>
    <row r="1046091" ht="10.5" customHeight="1"/>
    <row r="1046092" ht="10.5" customHeight="1"/>
    <row r="1046093" ht="10.5" customHeight="1"/>
    <row r="1046094" ht="10.5" customHeight="1"/>
    <row r="1046095" ht="10.5" customHeight="1"/>
    <row r="1046096" ht="10.5" customHeight="1"/>
    <row r="1046097" ht="10.5" customHeight="1"/>
    <row r="1046098" ht="10.5" customHeight="1"/>
    <row r="1046099" ht="10.5" customHeight="1"/>
    <row r="1046100" ht="10.5" customHeight="1"/>
    <row r="1046101" ht="10.5" customHeight="1"/>
    <row r="1046102" ht="10.5" customHeight="1"/>
    <row r="1046103" ht="10.5" customHeight="1"/>
    <row r="1046104" ht="10.5" customHeight="1"/>
    <row r="1046105" ht="10.5" customHeight="1"/>
    <row r="1046106" ht="10.5" customHeight="1"/>
    <row r="1046107" ht="10.5" customHeight="1"/>
    <row r="1046108" ht="10.5" customHeight="1"/>
    <row r="1046109" ht="10.5" customHeight="1"/>
    <row r="1046110" ht="10.5" customHeight="1"/>
    <row r="1046111" ht="10.5" customHeight="1"/>
    <row r="1046112" ht="10.5" customHeight="1"/>
    <row r="1046113" ht="10.5" customHeight="1"/>
    <row r="1046114" ht="10.5" customHeight="1"/>
    <row r="1046115" ht="10.5" customHeight="1"/>
    <row r="1046116" ht="10.5" customHeight="1"/>
    <row r="1046117" ht="10.5" customHeight="1"/>
    <row r="1046118" ht="10.5" customHeight="1"/>
    <row r="1046119" ht="10.5" customHeight="1"/>
    <row r="1046120" ht="10.5" customHeight="1"/>
    <row r="1046121" ht="10.5" customHeight="1"/>
    <row r="1046122" ht="10.5" customHeight="1"/>
    <row r="1046123" ht="10.5" customHeight="1"/>
    <row r="1046124" ht="10.5" customHeight="1"/>
    <row r="1046125" ht="10.5" customHeight="1"/>
    <row r="1046126" ht="10.5" customHeight="1"/>
    <row r="1046127" ht="10.5" customHeight="1"/>
    <row r="1046128" ht="10.5" customHeight="1"/>
    <row r="1046129" ht="10.5" customHeight="1"/>
    <row r="1046130" ht="10.5" customHeight="1"/>
    <row r="1046131" ht="10.5" customHeight="1"/>
    <row r="1046132" ht="10.5" customHeight="1"/>
    <row r="1046133" ht="10.5" customHeight="1"/>
    <row r="1046134" ht="10.5" customHeight="1"/>
    <row r="1046135" ht="10.5" customHeight="1"/>
    <row r="1046136" ht="10.5" customHeight="1"/>
    <row r="1046137" ht="10.5" customHeight="1"/>
    <row r="1046138" ht="10.5" customHeight="1"/>
    <row r="1046139" ht="10.5" customHeight="1"/>
    <row r="1046140" ht="10.5" customHeight="1"/>
    <row r="1046141" ht="10.5" customHeight="1"/>
    <row r="1046142" ht="10.5" customHeight="1"/>
    <row r="1046143" ht="10.5" customHeight="1"/>
    <row r="1046144" ht="10.5" customHeight="1"/>
    <row r="1046145" ht="10.5" customHeight="1"/>
    <row r="1046146" ht="10.5" customHeight="1"/>
    <row r="1046147" ht="10.5" customHeight="1"/>
    <row r="1046148" ht="10.5" customHeight="1"/>
    <row r="1046149" ht="10.5" customHeight="1"/>
    <row r="1046150" ht="10.5" customHeight="1"/>
    <row r="1046151" ht="10.5" customHeight="1"/>
    <row r="1046152" ht="10.5" customHeight="1"/>
    <row r="1046153" ht="10.5" customHeight="1"/>
    <row r="1046154" ht="10.5" customHeight="1"/>
    <row r="1046155" ht="10.5" customHeight="1"/>
    <row r="1046156" ht="10.5" customHeight="1"/>
    <row r="1046157" ht="10.5" customHeight="1"/>
    <row r="1046158" ht="10.5" customHeight="1"/>
    <row r="1046159" ht="10.5" customHeight="1"/>
    <row r="1046160" ht="10.5" customHeight="1"/>
    <row r="1046161" ht="10.5" customHeight="1"/>
    <row r="1046162" ht="10.5" customHeight="1"/>
    <row r="1046163" ht="10.5" customHeight="1"/>
    <row r="1046164" ht="10.5" customHeight="1"/>
    <row r="1046165" ht="10.5" customHeight="1"/>
    <row r="1046166" ht="10.5" customHeight="1"/>
    <row r="1046167" ht="10.5" customHeight="1"/>
    <row r="1046168" ht="10.5" customHeight="1"/>
    <row r="1046169" ht="10.5" customHeight="1"/>
    <row r="1046170" ht="10.5" customHeight="1"/>
    <row r="1046171" ht="10.5" customHeight="1"/>
    <row r="1046172" ht="10.5" customHeight="1"/>
    <row r="1046173" ht="10.5" customHeight="1"/>
    <row r="1046174" ht="10.5" customHeight="1"/>
    <row r="1046175" ht="10.5" customHeight="1"/>
    <row r="1046176" ht="10.5" customHeight="1"/>
    <row r="1046177" ht="10.5" customHeight="1"/>
    <row r="1046178" ht="10.5" customHeight="1"/>
    <row r="1046179" ht="10.5" customHeight="1"/>
    <row r="1046180" ht="10.5" customHeight="1"/>
    <row r="1046181" ht="10.5" customHeight="1"/>
    <row r="1046182" ht="10.5" customHeight="1"/>
    <row r="1046183" ht="10.5" customHeight="1"/>
    <row r="1046184" ht="10.5" customHeight="1"/>
    <row r="1046185" ht="10.5" customHeight="1"/>
    <row r="1046186" ht="10.5" customHeight="1"/>
    <row r="1046187" ht="10.5" customHeight="1"/>
    <row r="1046188" ht="10.5" customHeight="1"/>
    <row r="1046189" ht="10.5" customHeight="1"/>
    <row r="1046190" ht="10.5" customHeight="1"/>
    <row r="1046191" ht="10.5" customHeight="1"/>
    <row r="1046192" ht="10.5" customHeight="1"/>
    <row r="1046193" ht="10.5" customHeight="1"/>
    <row r="1046194" ht="10.5" customHeight="1"/>
    <row r="1046195" ht="10.5" customHeight="1"/>
    <row r="1046196" ht="10.5" customHeight="1"/>
    <row r="1046197" ht="10.5" customHeight="1"/>
    <row r="1046198" ht="10.5" customHeight="1"/>
    <row r="1046199" ht="10.5" customHeight="1"/>
    <row r="1046200" ht="10.5" customHeight="1"/>
    <row r="1046201" ht="10.5" customHeight="1"/>
    <row r="1046202" ht="10.5" customHeight="1"/>
    <row r="1046203" ht="10.5" customHeight="1"/>
    <row r="1046204" ht="10.5" customHeight="1"/>
    <row r="1046205" ht="10.5" customHeight="1"/>
    <row r="1046206" ht="10.5" customHeight="1"/>
    <row r="1046207" ht="10.5" customHeight="1"/>
    <row r="1046208" ht="10.5" customHeight="1"/>
    <row r="1046209" ht="10.5" customHeight="1"/>
    <row r="1046210" ht="10.5" customHeight="1"/>
    <row r="1046211" ht="10.5" customHeight="1"/>
    <row r="1046212" ht="10.5" customHeight="1"/>
    <row r="1046213" ht="10.5" customHeight="1"/>
    <row r="1046214" ht="10.5" customHeight="1"/>
    <row r="1046215" ht="10.5" customHeight="1"/>
    <row r="1046216" ht="10.5" customHeight="1"/>
    <row r="1046217" ht="10.5" customHeight="1"/>
    <row r="1046218" ht="10.5" customHeight="1"/>
    <row r="1046219" ht="10.5" customHeight="1"/>
    <row r="1046220" ht="10.5" customHeight="1"/>
    <row r="1046221" ht="10.5" customHeight="1"/>
    <row r="1046222" ht="10.5" customHeight="1"/>
    <row r="1046223" ht="10.5" customHeight="1"/>
    <row r="1046224" ht="10.5" customHeight="1"/>
    <row r="1046225" ht="10.5" customHeight="1"/>
    <row r="1046226" ht="10.5" customHeight="1"/>
    <row r="1046227" ht="10.5" customHeight="1"/>
    <row r="1046228" ht="10.5" customHeight="1"/>
    <row r="1046229" ht="10.5" customHeight="1"/>
    <row r="1046230" ht="10.5" customHeight="1"/>
    <row r="1046231" ht="10.5" customHeight="1"/>
    <row r="1046232" ht="10.5" customHeight="1"/>
    <row r="1046233" ht="10.5" customHeight="1"/>
    <row r="1046234" ht="10.5" customHeight="1"/>
    <row r="1046235" ht="10.5" customHeight="1"/>
    <row r="1046236" ht="10.5" customHeight="1"/>
    <row r="1046237" ht="10.5" customHeight="1"/>
    <row r="1046238" ht="10.5" customHeight="1"/>
    <row r="1046239" ht="10.5" customHeight="1"/>
    <row r="1046240" ht="10.5" customHeight="1"/>
    <row r="1046241" ht="10.5" customHeight="1"/>
    <row r="1046242" ht="10.5" customHeight="1"/>
    <row r="1046243" ht="10.5" customHeight="1"/>
    <row r="1046244" ht="10.5" customHeight="1"/>
    <row r="1046245" ht="10.5" customHeight="1"/>
    <row r="1046246" ht="10.5" customHeight="1"/>
    <row r="1046247" ht="10.5" customHeight="1"/>
    <row r="1046248" ht="10.5" customHeight="1"/>
    <row r="1046249" ht="10.5" customHeight="1"/>
    <row r="1046250" ht="10.5" customHeight="1"/>
    <row r="1046251" ht="10.5" customHeight="1"/>
    <row r="1046252" ht="10.5" customHeight="1"/>
    <row r="1046253" ht="10.5" customHeight="1"/>
    <row r="1046254" ht="10.5" customHeight="1"/>
    <row r="1046255" ht="10.5" customHeight="1"/>
    <row r="1046256" ht="10.5" customHeight="1"/>
    <row r="1046257" ht="10.5" customHeight="1"/>
    <row r="1046258" ht="10.5" customHeight="1"/>
    <row r="1046259" ht="10.5" customHeight="1"/>
    <row r="1046260" ht="10.5" customHeight="1"/>
    <row r="1046261" ht="10.5" customHeight="1"/>
    <row r="1046262" ht="10.5" customHeight="1"/>
    <row r="1046263" ht="10.5" customHeight="1"/>
    <row r="1046264" ht="10.5" customHeight="1"/>
    <row r="1046265" ht="10.5" customHeight="1"/>
    <row r="1046266" ht="10.5" customHeight="1"/>
    <row r="1046267" ht="10.5" customHeight="1"/>
    <row r="1046268" ht="10.5" customHeight="1"/>
    <row r="1046269" ht="10.5" customHeight="1"/>
    <row r="1046270" ht="10.5" customHeight="1"/>
    <row r="1046271" ht="10.5" customHeight="1"/>
    <row r="1046272" ht="10.5" customHeight="1"/>
    <row r="1046273" ht="10.5" customHeight="1"/>
    <row r="1046274" ht="10.5" customHeight="1"/>
    <row r="1046275" ht="10.5" customHeight="1"/>
    <row r="1046276" ht="10.5" customHeight="1"/>
    <row r="1046277" ht="10.5" customHeight="1"/>
    <row r="1046278" ht="10.5" customHeight="1"/>
    <row r="1046279" ht="10.5" customHeight="1"/>
    <row r="1046280" ht="10.5" customHeight="1"/>
    <row r="1046281" ht="10.5" customHeight="1"/>
    <row r="1046282" ht="10.5" customHeight="1"/>
    <row r="1046283" ht="10.5" customHeight="1"/>
    <row r="1046284" ht="10.5" customHeight="1"/>
    <row r="1046285" ht="10.5" customHeight="1"/>
    <row r="1046286" ht="10.5" customHeight="1"/>
    <row r="1046287" ht="10.5" customHeight="1"/>
    <row r="1046288" ht="10.5" customHeight="1"/>
    <row r="1046289" ht="10.5" customHeight="1"/>
    <row r="1046290" ht="10.5" customHeight="1"/>
    <row r="1046291" ht="10.5" customHeight="1"/>
    <row r="1046292" ht="10.5" customHeight="1"/>
    <row r="1046293" ht="10.5" customHeight="1"/>
    <row r="1046294" ht="10.5" customHeight="1"/>
    <row r="1046295" ht="10.5" customHeight="1"/>
    <row r="1046296" ht="10.5" customHeight="1"/>
    <row r="1046297" ht="10.5" customHeight="1"/>
    <row r="1046298" ht="10.5" customHeight="1"/>
    <row r="1046299" ht="10.5" customHeight="1"/>
    <row r="1046300" ht="10.5" customHeight="1"/>
    <row r="1046301" ht="10.5" customHeight="1"/>
    <row r="1046302" ht="10.5" customHeight="1"/>
    <row r="1046303" ht="10.5" customHeight="1"/>
    <row r="1046304" ht="10.5" customHeight="1"/>
    <row r="1046305" ht="10.5" customHeight="1"/>
    <row r="1046306" ht="10.5" customHeight="1"/>
    <row r="1046307" ht="10.5" customHeight="1"/>
    <row r="1046308" ht="10.5" customHeight="1"/>
    <row r="1046309" ht="10.5" customHeight="1"/>
    <row r="1046310" ht="10.5" customHeight="1"/>
    <row r="1046311" ht="10.5" customHeight="1"/>
    <row r="1046312" ht="10.5" customHeight="1"/>
    <row r="1046313" ht="10.5" customHeight="1"/>
    <row r="1046314" ht="10.5" customHeight="1"/>
    <row r="1046315" ht="10.5" customHeight="1"/>
    <row r="1046316" ht="10.5" customHeight="1"/>
    <row r="1046317" ht="10.5" customHeight="1"/>
    <row r="1046318" ht="10.5" customHeight="1"/>
    <row r="1046319" ht="10.5" customHeight="1"/>
    <row r="1046320" ht="10.5" customHeight="1"/>
    <row r="1046321" ht="10.5" customHeight="1"/>
    <row r="1046322" ht="10.5" customHeight="1"/>
    <row r="1046323" ht="10.5" customHeight="1"/>
    <row r="1046324" ht="10.5" customHeight="1"/>
    <row r="1046325" ht="10.5" customHeight="1"/>
    <row r="1046326" ht="10.5" customHeight="1"/>
    <row r="1046327" ht="10.5" customHeight="1"/>
    <row r="1046328" ht="10.5" customHeight="1"/>
    <row r="1046329" ht="10.5" customHeight="1"/>
    <row r="1046330" ht="10.5" customHeight="1"/>
    <row r="1046331" ht="10.5" customHeight="1"/>
    <row r="1046332" ht="10.5" customHeight="1"/>
    <row r="1046333" ht="10.5" customHeight="1"/>
    <row r="1046334" ht="10.5" customHeight="1"/>
    <row r="1046335" ht="10.5" customHeight="1"/>
    <row r="1046336" ht="10.5" customHeight="1"/>
    <row r="1046337" ht="10.5" customHeight="1"/>
    <row r="1046338" ht="10.5" customHeight="1"/>
    <row r="1046339" ht="10.5" customHeight="1"/>
    <row r="1046340" ht="10.5" customHeight="1"/>
    <row r="1046341" ht="10.5" customHeight="1"/>
    <row r="1046342" ht="10.5" customHeight="1"/>
    <row r="1046343" ht="10.5" customHeight="1"/>
    <row r="1046344" ht="10.5" customHeight="1"/>
    <row r="1046345" ht="10.5" customHeight="1"/>
    <row r="1046346" ht="10.5" customHeight="1"/>
    <row r="1046347" ht="10.5" customHeight="1"/>
    <row r="1046348" ht="10.5" customHeight="1"/>
    <row r="1046349" ht="10.5" customHeight="1"/>
    <row r="1046350" ht="10.5" customHeight="1"/>
    <row r="1046351" ht="10.5" customHeight="1"/>
    <row r="1046352" ht="10.5" customHeight="1"/>
    <row r="1046353" ht="10.5" customHeight="1"/>
    <row r="1046354" ht="10.5" customHeight="1"/>
    <row r="1046355" ht="10.5" customHeight="1"/>
    <row r="1046356" ht="10.5" customHeight="1"/>
    <row r="1046357" ht="10.5" customHeight="1"/>
    <row r="1046358" ht="10.5" customHeight="1"/>
    <row r="1046359" ht="10.5" customHeight="1"/>
    <row r="1046360" ht="10.5" customHeight="1"/>
    <row r="1046361" ht="10.5" customHeight="1"/>
    <row r="1046362" ht="10.5" customHeight="1"/>
    <row r="1046363" ht="10.5" customHeight="1"/>
    <row r="1046364" ht="10.5" customHeight="1"/>
    <row r="1046365" ht="10.5" customHeight="1"/>
    <row r="1046366" ht="10.5" customHeight="1"/>
    <row r="1046367" ht="10.5" customHeight="1"/>
    <row r="1046368" ht="10.5" customHeight="1"/>
    <row r="1046369" ht="10.5" customHeight="1"/>
    <row r="1046370" ht="10.5" customHeight="1"/>
    <row r="1046371" ht="10.5" customHeight="1"/>
    <row r="1046372" ht="10.5" customHeight="1"/>
    <row r="1046373" ht="10.5" customHeight="1"/>
    <row r="1046374" ht="10.5" customHeight="1"/>
    <row r="1046375" ht="10.5" customHeight="1"/>
    <row r="1046376" ht="10.5" customHeight="1"/>
    <row r="1046377" ht="10.5" customHeight="1"/>
    <row r="1046378" ht="10.5" customHeight="1"/>
    <row r="1046379" ht="10.5" customHeight="1"/>
    <row r="1046380" ht="10.5" customHeight="1"/>
    <row r="1046381" ht="10.5" customHeight="1"/>
    <row r="1046382" ht="10.5" customHeight="1"/>
    <row r="1046383" ht="10.5" customHeight="1"/>
    <row r="1046384" ht="10.5" customHeight="1"/>
    <row r="1046385" ht="10.5" customHeight="1"/>
    <row r="1046386" ht="10.5" customHeight="1"/>
    <row r="1046387" ht="10.5" customHeight="1"/>
    <row r="1046388" ht="10.5" customHeight="1"/>
    <row r="1046389" ht="10.5" customHeight="1"/>
    <row r="1046390" ht="10.5" customHeight="1"/>
    <row r="1046391" ht="10.5" customHeight="1"/>
    <row r="1046392" ht="10.5" customHeight="1"/>
    <row r="1046393" ht="10.5" customHeight="1"/>
    <row r="1046394" ht="10.5" customHeight="1"/>
    <row r="1046395" ht="10.5" customHeight="1"/>
    <row r="1046396" ht="10.5" customHeight="1"/>
    <row r="1046397" ht="10.5" customHeight="1"/>
    <row r="1046398" ht="10.5" customHeight="1"/>
    <row r="1046399" ht="10.5" customHeight="1"/>
    <row r="1046400" ht="10.5" customHeight="1"/>
    <row r="1046401" ht="10.5" customHeight="1"/>
    <row r="1046402" ht="10.5" customHeight="1"/>
    <row r="1046403" ht="10.5" customHeight="1"/>
    <row r="1046404" ht="10.5" customHeight="1"/>
    <row r="1046405" ht="10.5" customHeight="1"/>
    <row r="1046406" ht="10.5" customHeight="1"/>
    <row r="1046407" ht="10.5" customHeight="1"/>
    <row r="1046408" ht="10.5" customHeight="1"/>
    <row r="1046409" ht="10.5" customHeight="1"/>
    <row r="1046410" ht="10.5" customHeight="1"/>
    <row r="1046411" ht="10.5" customHeight="1"/>
    <row r="1046412" ht="10.5" customHeight="1"/>
    <row r="1046413" ht="10.5" customHeight="1"/>
    <row r="1046414" ht="10.5" customHeight="1"/>
    <row r="1046415" ht="10.5" customHeight="1"/>
    <row r="1046416" ht="10.5" customHeight="1"/>
    <row r="1046417" ht="10.5" customHeight="1"/>
    <row r="1046418" ht="10.5" customHeight="1"/>
    <row r="1046419" ht="10.5" customHeight="1"/>
    <row r="1046420" ht="10.5" customHeight="1"/>
    <row r="1046421" ht="10.5" customHeight="1"/>
    <row r="1046422" ht="10.5" customHeight="1"/>
    <row r="1046423" ht="10.5" customHeight="1"/>
    <row r="1046424" ht="10.5" customHeight="1"/>
    <row r="1046425" ht="10.5" customHeight="1"/>
    <row r="1046426" ht="10.5" customHeight="1"/>
    <row r="1046427" ht="10.5" customHeight="1"/>
    <row r="1046428" ht="10.5" customHeight="1"/>
    <row r="1046429" ht="10.5" customHeight="1"/>
    <row r="1046430" ht="10.5" customHeight="1"/>
    <row r="1046431" ht="10.5" customHeight="1"/>
    <row r="1046432" ht="10.5" customHeight="1"/>
    <row r="1046433" ht="10.5" customHeight="1"/>
    <row r="1046434" ht="10.5" customHeight="1"/>
    <row r="1046435" ht="10.5" customHeight="1"/>
    <row r="1046436" ht="10.5" customHeight="1"/>
    <row r="1046437" ht="10.5" customHeight="1"/>
    <row r="1046438" ht="10.5" customHeight="1"/>
    <row r="1046439" ht="10.5" customHeight="1"/>
    <row r="1046440" ht="10.5" customHeight="1"/>
    <row r="1046441" ht="10.5" customHeight="1"/>
    <row r="1046442" ht="10.5" customHeight="1"/>
    <row r="1046443" ht="10.5" customHeight="1"/>
    <row r="1046444" ht="10.5" customHeight="1"/>
    <row r="1046445" ht="10.5" customHeight="1"/>
    <row r="1046446" ht="10.5" customHeight="1"/>
    <row r="1046447" ht="10.5" customHeight="1"/>
    <row r="1046448" ht="10.5" customHeight="1"/>
    <row r="1046449" ht="10.5" customHeight="1"/>
    <row r="1046450" ht="10.5" customHeight="1"/>
    <row r="1046451" ht="10.5" customHeight="1"/>
    <row r="1046452" ht="10.5" customHeight="1"/>
    <row r="1046453" ht="10.5" customHeight="1"/>
    <row r="1046454" ht="10.5" customHeight="1"/>
    <row r="1046455" ht="10.5" customHeight="1"/>
    <row r="1046456" ht="10.5" customHeight="1"/>
    <row r="1046457" ht="10.5" customHeight="1"/>
    <row r="1046458" ht="10.5" customHeight="1"/>
    <row r="1046459" ht="10.5" customHeight="1"/>
    <row r="1046460" ht="10.5" customHeight="1"/>
    <row r="1046461" ht="10.5" customHeight="1"/>
    <row r="1046462" ht="10.5" customHeight="1"/>
    <row r="1046463" ht="10.5" customHeight="1"/>
    <row r="1046464" ht="10.5" customHeight="1"/>
    <row r="1046465" ht="10.5" customHeight="1"/>
    <row r="1046466" ht="10.5" customHeight="1"/>
    <row r="1046467" ht="10.5" customHeight="1"/>
    <row r="1046468" ht="10.5" customHeight="1"/>
    <row r="1046469" ht="10.5" customHeight="1"/>
    <row r="1046470" ht="10.5" customHeight="1"/>
    <row r="1046471" ht="10.5" customHeight="1"/>
    <row r="1046472" ht="10.5" customHeight="1"/>
    <row r="1046473" ht="10.5" customHeight="1"/>
    <row r="1046474" ht="10.5" customHeight="1"/>
    <row r="1046475" ht="10.5" customHeight="1"/>
    <row r="1046476" ht="10.5" customHeight="1"/>
    <row r="1046477" ht="10.5" customHeight="1"/>
    <row r="1046478" ht="10.5" customHeight="1"/>
    <row r="1046479" ht="10.5" customHeight="1"/>
    <row r="1046480" ht="10.5" customHeight="1"/>
    <row r="1046481" ht="10.5" customHeight="1"/>
    <row r="1046482" ht="10.5" customHeight="1"/>
    <row r="1046483" ht="10.5" customHeight="1"/>
    <row r="1046484" ht="10.5" customHeight="1"/>
    <row r="1046485" ht="10.5" customHeight="1"/>
    <row r="1046486" ht="10.5" customHeight="1"/>
    <row r="1046487" ht="10.5" customHeight="1"/>
    <row r="1046488" ht="10.5" customHeight="1"/>
    <row r="1046489" ht="10.5" customHeight="1"/>
    <row r="1046490" ht="10.5" customHeight="1"/>
    <row r="1046491" ht="10.5" customHeight="1"/>
    <row r="1046492" ht="10.5" customHeight="1"/>
    <row r="1046493" ht="10.5" customHeight="1"/>
    <row r="1046494" ht="10.5" customHeight="1"/>
    <row r="1046495" ht="10.5" customHeight="1"/>
    <row r="1046496" ht="10.5" customHeight="1"/>
    <row r="1046497" ht="10.5" customHeight="1"/>
    <row r="1046498" ht="10.5" customHeight="1"/>
    <row r="1046499" ht="10.5" customHeight="1"/>
    <row r="1046500" ht="10.5" customHeight="1"/>
    <row r="1046501" ht="10.5" customHeight="1"/>
    <row r="1046502" ht="10.5" customHeight="1"/>
    <row r="1046503" ht="10.5" customHeight="1"/>
    <row r="1046504" ht="10.5" customHeight="1"/>
    <row r="1046505" ht="10.5" customHeight="1"/>
    <row r="1046506" ht="10.5" customHeight="1"/>
    <row r="1046507" ht="10.5" customHeight="1"/>
    <row r="1046508" ht="10.5" customHeight="1"/>
    <row r="1046509" ht="10.5" customHeight="1"/>
    <row r="1046510" ht="10.5" customHeight="1"/>
    <row r="1046511" ht="10.5" customHeight="1"/>
    <row r="1046512" ht="10.5" customHeight="1"/>
    <row r="1046513" ht="10.5" customHeight="1"/>
    <row r="1046514" ht="10.5" customHeight="1"/>
    <row r="1046515" ht="10.5" customHeight="1"/>
    <row r="1046516" ht="10.5" customHeight="1"/>
    <row r="1046517" ht="10.5" customHeight="1"/>
    <row r="1046518" ht="10.5" customHeight="1"/>
    <row r="1046519" ht="10.5" customHeight="1"/>
    <row r="1046520" ht="10.5" customHeight="1"/>
    <row r="1046521" ht="10.5" customHeight="1"/>
    <row r="1046522" ht="10.5" customHeight="1"/>
    <row r="1046523" ht="10.5" customHeight="1"/>
    <row r="1046524" ht="10.5" customHeight="1"/>
    <row r="1046525" ht="10.5" customHeight="1"/>
    <row r="1046526" ht="10.5" customHeight="1"/>
    <row r="1046527" ht="10.5" customHeight="1"/>
    <row r="1046528" ht="10.5" customHeight="1"/>
    <row r="1046529" ht="10.5" customHeight="1"/>
    <row r="1046530" ht="10.5" customHeight="1"/>
    <row r="1046531" ht="10.5" customHeight="1"/>
    <row r="1046532" ht="10.5" customHeight="1"/>
    <row r="1046533" ht="10.5" customHeight="1"/>
    <row r="1046534" ht="10.5" customHeight="1"/>
    <row r="1046535" ht="10.5" customHeight="1"/>
    <row r="1046536" ht="10.5" customHeight="1"/>
    <row r="1046537" ht="10.5" customHeight="1"/>
    <row r="1046538" ht="10.5" customHeight="1"/>
    <row r="1046539" ht="10.5" customHeight="1"/>
    <row r="1046540" ht="10.5" customHeight="1"/>
    <row r="1046541" ht="10.5" customHeight="1"/>
    <row r="1046542" ht="10.5" customHeight="1"/>
    <row r="1046543" ht="10.5" customHeight="1"/>
    <row r="1046544" ht="10.5" customHeight="1"/>
    <row r="1046545" ht="10.5" customHeight="1"/>
    <row r="1046546" ht="10.5" customHeight="1"/>
    <row r="1046547" ht="10.5" customHeight="1"/>
    <row r="1046548" ht="10.5" customHeight="1"/>
    <row r="1046549" ht="10.5" customHeight="1"/>
    <row r="1046550" ht="10.5" customHeight="1"/>
    <row r="1046551" ht="10.5" customHeight="1"/>
    <row r="1046552" ht="10.5" customHeight="1"/>
    <row r="1046553" ht="10.5" customHeight="1"/>
    <row r="1046554" ht="10.5" customHeight="1"/>
    <row r="1046555" ht="10.5" customHeight="1"/>
    <row r="1046556" ht="10.5" customHeight="1"/>
    <row r="1046557" ht="10.5" customHeight="1"/>
    <row r="1046558" ht="10.5" customHeight="1"/>
    <row r="1046559" ht="10.5" customHeight="1"/>
    <row r="1046560" ht="10.5" customHeight="1"/>
    <row r="1046561" ht="10.5" customHeight="1"/>
    <row r="1046562" ht="10.5" customHeight="1"/>
    <row r="1046563" ht="10.5" customHeight="1"/>
    <row r="1046564" ht="10.5" customHeight="1"/>
    <row r="1046565" ht="10.5" customHeight="1"/>
    <row r="1046566" ht="10.5" customHeight="1"/>
    <row r="1046567" ht="10.5" customHeight="1"/>
    <row r="1046568" ht="10.5" customHeight="1"/>
    <row r="1046569" ht="10.5" customHeight="1"/>
    <row r="1046570" ht="10.5" customHeight="1"/>
    <row r="1046571" ht="10.5" customHeight="1"/>
    <row r="1046572" ht="10.5" customHeight="1"/>
    <row r="1046573" ht="10.5" customHeight="1"/>
    <row r="1046574" ht="10.5" customHeight="1"/>
    <row r="1046575" ht="10.5" customHeight="1"/>
    <row r="1046576" ht="10.5" customHeight="1"/>
    <row r="1046577" ht="10.5" customHeight="1"/>
    <row r="1046578" ht="10.5" customHeight="1"/>
    <row r="1046579" ht="10.5" customHeight="1"/>
    <row r="1046580" ht="10.5" customHeight="1"/>
    <row r="1046581" ht="10.5" customHeight="1"/>
    <row r="1046582" ht="10.5" customHeight="1"/>
    <row r="1046583" ht="10.5" customHeight="1"/>
    <row r="1046584" ht="10.5" customHeight="1"/>
    <row r="1046585" ht="10.5" customHeight="1"/>
    <row r="1046586" ht="10.5" customHeight="1"/>
    <row r="1046587" ht="10.5" customHeight="1"/>
    <row r="1046588" ht="10.5" customHeight="1"/>
    <row r="1046589" ht="10.5" customHeight="1"/>
    <row r="1046590" ht="10.5" customHeight="1"/>
    <row r="1046591" ht="10.5" customHeight="1"/>
    <row r="1046592" ht="10.5" customHeight="1"/>
    <row r="1046593" ht="10.5" customHeight="1"/>
    <row r="1046594" ht="10.5" customHeight="1"/>
    <row r="1046595" ht="10.5" customHeight="1"/>
    <row r="1046596" ht="10.5" customHeight="1"/>
    <row r="1046597" ht="10.5" customHeight="1"/>
    <row r="1046598" ht="10.5" customHeight="1"/>
    <row r="1046599" ht="10.5" customHeight="1"/>
    <row r="1046600" ht="10.5" customHeight="1"/>
    <row r="1046601" ht="10.5" customHeight="1"/>
    <row r="1046602" ht="10.5" customHeight="1"/>
    <row r="1046603" ht="10.5" customHeight="1"/>
    <row r="1046604" ht="10.5" customHeight="1"/>
    <row r="1046605" ht="10.5" customHeight="1"/>
    <row r="1046606" ht="10.5" customHeight="1"/>
    <row r="1046607" ht="10.5" customHeight="1"/>
    <row r="1046608" ht="10.5" customHeight="1"/>
    <row r="1046609" ht="10.5" customHeight="1"/>
    <row r="1046610" ht="10.5" customHeight="1"/>
    <row r="1046611" ht="10.5" customHeight="1"/>
    <row r="1046612" ht="10.5" customHeight="1"/>
    <row r="1046613" ht="10.5" customHeight="1"/>
    <row r="1046614" ht="10.5" customHeight="1"/>
    <row r="1046615" ht="10.5" customHeight="1"/>
    <row r="1046616" ht="10.5" customHeight="1"/>
    <row r="1046617" ht="10.5" customHeight="1"/>
    <row r="1046618" ht="10.5" customHeight="1"/>
    <row r="1046619" ht="10.5" customHeight="1"/>
    <row r="1046620" ht="10.5" customHeight="1"/>
    <row r="1046621" ht="10.5" customHeight="1"/>
    <row r="1046622" ht="10.5" customHeight="1"/>
    <row r="1046623" ht="10.5" customHeight="1"/>
    <row r="1046624" ht="10.5" customHeight="1"/>
    <row r="1046625" ht="10.5" customHeight="1"/>
    <row r="1046626" ht="10.5" customHeight="1"/>
    <row r="1046627" ht="10.5" customHeight="1"/>
    <row r="1046628" ht="10.5" customHeight="1"/>
    <row r="1046629" ht="10.5" customHeight="1"/>
    <row r="1046630" ht="10.5" customHeight="1"/>
    <row r="1046631" ht="10.5" customHeight="1"/>
    <row r="1046632" ht="10.5" customHeight="1"/>
    <row r="1046633" ht="10.5" customHeight="1"/>
    <row r="1046634" ht="10.5" customHeight="1"/>
    <row r="1046635" ht="10.5" customHeight="1"/>
    <row r="1046636" ht="10.5" customHeight="1"/>
    <row r="1046637" ht="10.5" customHeight="1"/>
    <row r="1046638" ht="10.5" customHeight="1"/>
    <row r="1046639" ht="10.5" customHeight="1"/>
    <row r="1046640" ht="10.5" customHeight="1"/>
    <row r="1046641" ht="10.5" customHeight="1"/>
    <row r="1046642" ht="10.5" customHeight="1"/>
    <row r="1046643" ht="10.5" customHeight="1"/>
    <row r="1046644" ht="10.5" customHeight="1"/>
    <row r="1046645" ht="10.5" customHeight="1"/>
    <row r="1046646" ht="10.5" customHeight="1"/>
    <row r="1046647" ht="10.5" customHeight="1"/>
    <row r="1046648" ht="10.5" customHeight="1"/>
    <row r="1046649" ht="10.5" customHeight="1"/>
    <row r="1046650" ht="10.5" customHeight="1"/>
    <row r="1046651" ht="10.5" customHeight="1"/>
    <row r="1046652" ht="10.5" customHeight="1"/>
    <row r="1046653" ht="10.5" customHeight="1"/>
    <row r="1046654" ht="10.5" customHeight="1"/>
    <row r="1046655" ht="10.5" customHeight="1"/>
    <row r="1046656" ht="10.5" customHeight="1"/>
    <row r="1046657" ht="10.5" customHeight="1"/>
    <row r="1046658" ht="10.5" customHeight="1"/>
    <row r="1046659" ht="10.5" customHeight="1"/>
    <row r="1046660" ht="10.5" customHeight="1"/>
    <row r="1046661" ht="10.5" customHeight="1"/>
    <row r="1046662" ht="10.5" customHeight="1"/>
    <row r="1046663" ht="10.5" customHeight="1"/>
    <row r="1046664" ht="10.5" customHeight="1"/>
    <row r="1046665" ht="10.5" customHeight="1"/>
    <row r="1046666" ht="10.5" customHeight="1"/>
    <row r="1046667" ht="10.5" customHeight="1"/>
    <row r="1046668" ht="10.5" customHeight="1"/>
    <row r="1046669" ht="10.5" customHeight="1"/>
    <row r="1046670" ht="10.5" customHeight="1"/>
    <row r="1046671" ht="10.5" customHeight="1"/>
    <row r="1046672" ht="10.5" customHeight="1"/>
    <row r="1046673" ht="10.5" customHeight="1"/>
    <row r="1046674" ht="10.5" customHeight="1"/>
    <row r="1046675" ht="10.5" customHeight="1"/>
    <row r="1046676" ht="10.5" customHeight="1"/>
    <row r="1046677" ht="10.5" customHeight="1"/>
    <row r="1046678" ht="10.5" customHeight="1"/>
    <row r="1046679" ht="10.5" customHeight="1"/>
    <row r="1046680" ht="10.5" customHeight="1"/>
    <row r="1046681" ht="10.5" customHeight="1"/>
    <row r="1046682" ht="10.5" customHeight="1"/>
    <row r="1046683" ht="10.5" customHeight="1"/>
    <row r="1046684" ht="10.5" customHeight="1"/>
    <row r="1046685" ht="10.5" customHeight="1"/>
    <row r="1046686" ht="10.5" customHeight="1"/>
    <row r="1046687" ht="10.5" customHeight="1"/>
    <row r="1046688" ht="10.5" customHeight="1"/>
    <row r="1046689" ht="10.5" customHeight="1"/>
    <row r="1046690" ht="10.5" customHeight="1"/>
    <row r="1046691" ht="10.5" customHeight="1"/>
    <row r="1046692" ht="10.5" customHeight="1"/>
    <row r="1046693" ht="10.5" customHeight="1"/>
    <row r="1046694" ht="10.5" customHeight="1"/>
    <row r="1046695" ht="10.5" customHeight="1"/>
    <row r="1046696" ht="10.5" customHeight="1"/>
    <row r="1046697" ht="10.5" customHeight="1"/>
    <row r="1046698" ht="10.5" customHeight="1"/>
    <row r="1046699" ht="10.5" customHeight="1"/>
    <row r="1046700" ht="10.5" customHeight="1"/>
    <row r="1046701" ht="10.5" customHeight="1"/>
    <row r="1046702" ht="10.5" customHeight="1"/>
    <row r="1046703" ht="10.5" customHeight="1"/>
    <row r="1046704" ht="10.5" customHeight="1"/>
    <row r="1046705" ht="10.5" customHeight="1"/>
    <row r="1046706" ht="10.5" customHeight="1"/>
    <row r="1046707" ht="10.5" customHeight="1"/>
    <row r="1046708" ht="10.5" customHeight="1"/>
    <row r="1046709" ht="10.5" customHeight="1"/>
    <row r="1046710" ht="10.5" customHeight="1"/>
    <row r="1046711" ht="10.5" customHeight="1"/>
    <row r="1046712" ht="10.5" customHeight="1"/>
    <row r="1046713" ht="10.5" customHeight="1"/>
    <row r="1046714" ht="10.5" customHeight="1"/>
    <row r="1046715" ht="10.5" customHeight="1"/>
    <row r="1046716" ht="10.5" customHeight="1"/>
    <row r="1046717" ht="10.5" customHeight="1"/>
    <row r="1046718" ht="10.5" customHeight="1"/>
    <row r="1046719" ht="10.5" customHeight="1"/>
    <row r="1046720" ht="10.5" customHeight="1"/>
    <row r="1046721" ht="10.5" customHeight="1"/>
    <row r="1046722" ht="10.5" customHeight="1"/>
    <row r="1046723" ht="10.5" customHeight="1"/>
    <row r="1046724" ht="10.5" customHeight="1"/>
    <row r="1046725" ht="10.5" customHeight="1"/>
    <row r="1046726" ht="10.5" customHeight="1"/>
    <row r="1046727" ht="10.5" customHeight="1"/>
    <row r="1046728" ht="10.5" customHeight="1"/>
    <row r="1046729" ht="10.5" customHeight="1"/>
    <row r="1046730" ht="10.5" customHeight="1"/>
    <row r="1046731" ht="10.5" customHeight="1"/>
    <row r="1046732" ht="10.5" customHeight="1"/>
    <row r="1046733" ht="10.5" customHeight="1"/>
    <row r="1046734" ht="10.5" customHeight="1"/>
    <row r="1046735" ht="10.5" customHeight="1"/>
    <row r="1046736" ht="10.5" customHeight="1"/>
    <row r="1046737" ht="10.5" customHeight="1"/>
    <row r="1046738" ht="10.5" customHeight="1"/>
    <row r="1046739" ht="10.5" customHeight="1"/>
    <row r="1046740" ht="10.5" customHeight="1"/>
    <row r="1046741" ht="10.5" customHeight="1"/>
    <row r="1046742" ht="10.5" customHeight="1"/>
    <row r="1046743" ht="10.5" customHeight="1"/>
    <row r="1046744" ht="10.5" customHeight="1"/>
    <row r="1046745" ht="10.5" customHeight="1"/>
    <row r="1046746" ht="10.5" customHeight="1"/>
    <row r="1046747" ht="10.5" customHeight="1"/>
    <row r="1046748" ht="10.5" customHeight="1"/>
    <row r="1046749" ht="10.5" customHeight="1"/>
    <row r="1046750" ht="10.5" customHeight="1"/>
    <row r="1046751" ht="10.5" customHeight="1"/>
    <row r="1046752" ht="10.5" customHeight="1"/>
    <row r="1046753" ht="10.5" customHeight="1"/>
    <row r="1046754" ht="10.5" customHeight="1"/>
    <row r="1046755" ht="10.5" customHeight="1"/>
    <row r="1046756" ht="10.5" customHeight="1"/>
    <row r="1046757" ht="10.5" customHeight="1"/>
    <row r="1046758" ht="10.5" customHeight="1"/>
    <row r="1046759" ht="10.5" customHeight="1"/>
    <row r="1046760" ht="10.5" customHeight="1"/>
    <row r="1046761" ht="10.5" customHeight="1"/>
    <row r="1046762" ht="10.5" customHeight="1"/>
    <row r="1046763" ht="10.5" customHeight="1"/>
    <row r="1046764" ht="10.5" customHeight="1"/>
    <row r="1046765" ht="10.5" customHeight="1"/>
    <row r="1046766" ht="10.5" customHeight="1"/>
    <row r="1046767" ht="10.5" customHeight="1"/>
    <row r="1046768" ht="10.5" customHeight="1"/>
    <row r="1046769" ht="10.5" customHeight="1"/>
    <row r="1046770" ht="10.5" customHeight="1"/>
    <row r="1046771" ht="10.5" customHeight="1"/>
    <row r="1046772" ht="10.5" customHeight="1"/>
    <row r="1046773" ht="10.5" customHeight="1"/>
    <row r="1046774" ht="10.5" customHeight="1"/>
    <row r="1046775" ht="10.5" customHeight="1"/>
    <row r="1046776" ht="10.5" customHeight="1"/>
    <row r="1046777" ht="10.5" customHeight="1"/>
    <row r="1046778" ht="10.5" customHeight="1"/>
    <row r="1046779" ht="10.5" customHeight="1"/>
    <row r="1046780" ht="10.5" customHeight="1"/>
    <row r="1046781" ht="10.5" customHeight="1"/>
    <row r="1046782" ht="10.5" customHeight="1"/>
    <row r="1046783" ht="10.5" customHeight="1"/>
    <row r="1046784" ht="10.5" customHeight="1"/>
    <row r="1046785" ht="10.5" customHeight="1"/>
    <row r="1046786" ht="10.5" customHeight="1"/>
    <row r="1046787" ht="10.5" customHeight="1"/>
    <row r="1046788" ht="10.5" customHeight="1"/>
    <row r="1046789" ht="10.5" customHeight="1"/>
    <row r="1046790" ht="10.5" customHeight="1"/>
    <row r="1046791" ht="10.5" customHeight="1"/>
    <row r="1046792" ht="10.5" customHeight="1"/>
    <row r="1046793" ht="10.5" customHeight="1"/>
    <row r="1046794" ht="10.5" customHeight="1"/>
    <row r="1046795" ht="10.5" customHeight="1"/>
    <row r="1046796" ht="10.5" customHeight="1"/>
    <row r="1046797" ht="10.5" customHeight="1"/>
    <row r="1046798" ht="10.5" customHeight="1"/>
    <row r="1046799" ht="10.5" customHeight="1"/>
    <row r="1046800" ht="10.5" customHeight="1"/>
    <row r="1046801" ht="10.5" customHeight="1"/>
    <row r="1046802" ht="10.5" customHeight="1"/>
    <row r="1046803" ht="10.5" customHeight="1"/>
    <row r="1046804" ht="10.5" customHeight="1"/>
    <row r="1046805" ht="10.5" customHeight="1"/>
    <row r="1046806" ht="10.5" customHeight="1"/>
    <row r="1046807" ht="10.5" customHeight="1"/>
    <row r="1046808" ht="10.5" customHeight="1"/>
    <row r="1046809" ht="10.5" customHeight="1"/>
    <row r="1046810" ht="10.5" customHeight="1"/>
    <row r="1046811" ht="10.5" customHeight="1"/>
    <row r="1046812" ht="10.5" customHeight="1"/>
    <row r="1046813" ht="10.5" customHeight="1"/>
    <row r="1046814" ht="10.5" customHeight="1"/>
    <row r="1046815" ht="10.5" customHeight="1"/>
    <row r="1046816" ht="10.5" customHeight="1"/>
    <row r="1046817" ht="10.5" customHeight="1"/>
    <row r="1046818" ht="10.5" customHeight="1"/>
    <row r="1046819" ht="10.5" customHeight="1"/>
    <row r="1046820" ht="10.5" customHeight="1"/>
    <row r="1046821" ht="10.5" customHeight="1"/>
    <row r="1046822" ht="10.5" customHeight="1"/>
    <row r="1046823" ht="10.5" customHeight="1"/>
    <row r="1046824" ht="10.5" customHeight="1"/>
    <row r="1046825" ht="10.5" customHeight="1"/>
    <row r="1046826" ht="10.5" customHeight="1"/>
    <row r="1046827" ht="10.5" customHeight="1"/>
    <row r="1046828" ht="10.5" customHeight="1"/>
    <row r="1046829" ht="10.5" customHeight="1"/>
    <row r="1046830" ht="10.5" customHeight="1"/>
    <row r="1046831" ht="10.5" customHeight="1"/>
    <row r="1046832" ht="10.5" customHeight="1"/>
    <row r="1046833" ht="10.5" customHeight="1"/>
    <row r="1046834" ht="10.5" customHeight="1"/>
    <row r="1046835" ht="10.5" customHeight="1"/>
    <row r="1046836" ht="10.5" customHeight="1"/>
    <row r="1046837" ht="10.5" customHeight="1"/>
    <row r="1046838" ht="10.5" customHeight="1"/>
    <row r="1046839" ht="10.5" customHeight="1"/>
    <row r="1046840" ht="10.5" customHeight="1"/>
    <row r="1046841" ht="10.5" customHeight="1"/>
    <row r="1046842" ht="10.5" customHeight="1"/>
    <row r="1046843" ht="10.5" customHeight="1"/>
    <row r="1046844" ht="10.5" customHeight="1"/>
    <row r="1046845" ht="10.5" customHeight="1"/>
    <row r="1046846" ht="10.5" customHeight="1"/>
    <row r="1046847" ht="10.5" customHeight="1"/>
    <row r="1046848" ht="10.5" customHeight="1"/>
    <row r="1046849" ht="10.5" customHeight="1"/>
    <row r="1046850" ht="10.5" customHeight="1"/>
    <row r="1046851" ht="10.5" customHeight="1"/>
    <row r="1046852" ht="10.5" customHeight="1"/>
    <row r="1046853" ht="10.5" customHeight="1"/>
    <row r="1046854" ht="10.5" customHeight="1"/>
    <row r="1046855" ht="10.5" customHeight="1"/>
    <row r="1046856" ht="10.5" customHeight="1"/>
    <row r="1046857" ht="10.5" customHeight="1"/>
    <row r="1046858" ht="10.5" customHeight="1"/>
    <row r="1046859" ht="10.5" customHeight="1"/>
    <row r="1046860" ht="10.5" customHeight="1"/>
    <row r="1046861" ht="10.5" customHeight="1"/>
    <row r="1046862" ht="10.5" customHeight="1"/>
    <row r="1046863" ht="10.5" customHeight="1"/>
    <row r="1046864" ht="10.5" customHeight="1"/>
    <row r="1046865" ht="10.5" customHeight="1"/>
    <row r="1046866" ht="10.5" customHeight="1"/>
    <row r="1046867" ht="10.5" customHeight="1"/>
    <row r="1046868" ht="10.5" customHeight="1"/>
    <row r="1046869" ht="10.5" customHeight="1"/>
    <row r="1046870" ht="10.5" customHeight="1"/>
    <row r="1046871" ht="10.5" customHeight="1"/>
    <row r="1046872" ht="10.5" customHeight="1"/>
    <row r="1046873" ht="10.5" customHeight="1"/>
    <row r="1046874" ht="10.5" customHeight="1"/>
    <row r="1046875" ht="10.5" customHeight="1"/>
    <row r="1046876" ht="10.5" customHeight="1"/>
    <row r="1046877" ht="10.5" customHeight="1"/>
    <row r="1046878" ht="10.5" customHeight="1"/>
    <row r="1046879" ht="10.5" customHeight="1"/>
    <row r="1046880" ht="10.5" customHeight="1"/>
    <row r="1046881" ht="10.5" customHeight="1"/>
    <row r="1046882" ht="10.5" customHeight="1"/>
    <row r="1046883" ht="10.5" customHeight="1"/>
    <row r="1046884" ht="10.5" customHeight="1"/>
    <row r="1046885" ht="10.5" customHeight="1"/>
    <row r="1046886" ht="10.5" customHeight="1"/>
    <row r="1046887" ht="10.5" customHeight="1"/>
    <row r="1046888" ht="10.5" customHeight="1"/>
    <row r="1046889" ht="10.5" customHeight="1"/>
    <row r="1046890" ht="10.5" customHeight="1"/>
    <row r="1046891" ht="10.5" customHeight="1"/>
    <row r="1046892" ht="10.5" customHeight="1"/>
    <row r="1046893" ht="10.5" customHeight="1"/>
    <row r="1046894" ht="10.5" customHeight="1"/>
    <row r="1046895" ht="10.5" customHeight="1"/>
    <row r="1046896" ht="10.5" customHeight="1"/>
    <row r="1046897" ht="10.5" customHeight="1"/>
    <row r="1046898" ht="10.5" customHeight="1"/>
    <row r="1046899" ht="10.5" customHeight="1"/>
    <row r="1046900" ht="10.5" customHeight="1"/>
    <row r="1046901" ht="10.5" customHeight="1"/>
    <row r="1046902" ht="10.5" customHeight="1"/>
    <row r="1046903" ht="10.5" customHeight="1"/>
    <row r="1046904" ht="10.5" customHeight="1"/>
    <row r="1046905" ht="10.5" customHeight="1"/>
    <row r="1046906" ht="10.5" customHeight="1"/>
    <row r="1046907" ht="10.5" customHeight="1"/>
    <row r="1046908" ht="10.5" customHeight="1"/>
    <row r="1046909" ht="10.5" customHeight="1"/>
    <row r="1046910" ht="10.5" customHeight="1"/>
    <row r="1046911" ht="10.5" customHeight="1"/>
    <row r="1046912" ht="10.5" customHeight="1"/>
    <row r="1046913" ht="10.5" customHeight="1"/>
    <row r="1046914" ht="10.5" customHeight="1"/>
    <row r="1046915" ht="10.5" customHeight="1"/>
    <row r="1046916" ht="10.5" customHeight="1"/>
    <row r="1046917" ht="10.5" customHeight="1"/>
    <row r="1046918" ht="10.5" customHeight="1"/>
    <row r="1046919" ht="10.5" customHeight="1"/>
    <row r="1046920" ht="10.5" customHeight="1"/>
    <row r="1046921" ht="10.5" customHeight="1"/>
    <row r="1046922" ht="10.5" customHeight="1"/>
    <row r="1046923" ht="10.5" customHeight="1"/>
    <row r="1046924" ht="10.5" customHeight="1"/>
    <row r="1046925" ht="10.5" customHeight="1"/>
    <row r="1046926" ht="10.5" customHeight="1"/>
    <row r="1046927" ht="10.5" customHeight="1"/>
    <row r="1046928" ht="10.5" customHeight="1"/>
    <row r="1046929" ht="10.5" customHeight="1"/>
    <row r="1046930" ht="10.5" customHeight="1"/>
    <row r="1046931" ht="10.5" customHeight="1"/>
    <row r="1046932" ht="10.5" customHeight="1"/>
    <row r="1046933" ht="10.5" customHeight="1"/>
    <row r="1046934" ht="10.5" customHeight="1"/>
    <row r="1046935" ht="10.5" customHeight="1"/>
    <row r="1046936" ht="10.5" customHeight="1"/>
    <row r="1046937" ht="10.5" customHeight="1"/>
    <row r="1046938" ht="10.5" customHeight="1"/>
    <row r="1046939" ht="10.5" customHeight="1"/>
    <row r="1046940" ht="10.5" customHeight="1"/>
    <row r="1046941" ht="10.5" customHeight="1"/>
    <row r="1046942" ht="10.5" customHeight="1"/>
    <row r="1046943" ht="10.5" customHeight="1"/>
    <row r="1046944" ht="10.5" customHeight="1"/>
    <row r="1046945" ht="10.5" customHeight="1"/>
    <row r="1046946" ht="10.5" customHeight="1"/>
    <row r="1046947" ht="10.5" customHeight="1"/>
    <row r="1046948" ht="10.5" customHeight="1"/>
    <row r="1046949" ht="10.5" customHeight="1"/>
    <row r="1046950" ht="10.5" customHeight="1"/>
    <row r="1046951" ht="10.5" customHeight="1"/>
    <row r="1046952" ht="10.5" customHeight="1"/>
    <row r="1046953" ht="10.5" customHeight="1"/>
    <row r="1046954" ht="10.5" customHeight="1"/>
    <row r="1046955" ht="10.5" customHeight="1"/>
    <row r="1046956" ht="10.5" customHeight="1"/>
    <row r="1046957" ht="10.5" customHeight="1"/>
    <row r="1046958" ht="10.5" customHeight="1"/>
    <row r="1046959" ht="10.5" customHeight="1"/>
    <row r="1046960" ht="10.5" customHeight="1"/>
    <row r="1046961" ht="10.5" customHeight="1"/>
    <row r="1046962" ht="10.5" customHeight="1"/>
    <row r="1046963" ht="10.5" customHeight="1"/>
    <row r="1046964" ht="10.5" customHeight="1"/>
    <row r="1046965" ht="10.5" customHeight="1"/>
    <row r="1046966" ht="10.5" customHeight="1"/>
    <row r="1046967" ht="10.5" customHeight="1"/>
    <row r="1046968" ht="10.5" customHeight="1"/>
    <row r="1046969" ht="10.5" customHeight="1"/>
    <row r="1046970" ht="10.5" customHeight="1"/>
    <row r="1046971" ht="10.5" customHeight="1"/>
    <row r="1046972" ht="10.5" customHeight="1"/>
    <row r="1046973" ht="10.5" customHeight="1"/>
    <row r="1046974" ht="10.5" customHeight="1"/>
    <row r="1046975" ht="10.5" customHeight="1"/>
    <row r="1046976" ht="10.5" customHeight="1"/>
    <row r="1046977" ht="10.5" customHeight="1"/>
    <row r="1046978" ht="10.5" customHeight="1"/>
    <row r="1046979" ht="10.5" customHeight="1"/>
    <row r="1046980" ht="10.5" customHeight="1"/>
    <row r="1046981" ht="10.5" customHeight="1"/>
    <row r="1046982" ht="10.5" customHeight="1"/>
    <row r="1046983" ht="10.5" customHeight="1"/>
    <row r="1046984" ht="10.5" customHeight="1"/>
    <row r="1046985" ht="10.5" customHeight="1"/>
    <row r="1046986" ht="10.5" customHeight="1"/>
    <row r="1046987" ht="10.5" customHeight="1"/>
    <row r="1046988" ht="10.5" customHeight="1"/>
    <row r="1046989" ht="10.5" customHeight="1"/>
    <row r="1046990" ht="10.5" customHeight="1"/>
    <row r="1046991" ht="10.5" customHeight="1"/>
    <row r="1046992" ht="10.5" customHeight="1"/>
    <row r="1046993" ht="10.5" customHeight="1"/>
    <row r="1046994" ht="10.5" customHeight="1"/>
    <row r="1046995" ht="10.5" customHeight="1"/>
    <row r="1046996" ht="10.5" customHeight="1"/>
    <row r="1046997" ht="10.5" customHeight="1"/>
    <row r="1046998" ht="10.5" customHeight="1"/>
    <row r="1046999" ht="10.5" customHeight="1"/>
    <row r="1047000" ht="10.5" customHeight="1"/>
    <row r="1047001" ht="10.5" customHeight="1"/>
    <row r="1047002" ht="10.5" customHeight="1"/>
    <row r="1047003" ht="10.5" customHeight="1"/>
    <row r="1047004" ht="10.5" customHeight="1"/>
    <row r="1047005" ht="10.5" customHeight="1"/>
    <row r="1047006" ht="10.5" customHeight="1"/>
    <row r="1047007" ht="10.5" customHeight="1"/>
    <row r="1047008" ht="10.5" customHeight="1"/>
    <row r="1047009" ht="10.5" customHeight="1"/>
    <row r="1047010" ht="10.5" customHeight="1"/>
    <row r="1047011" ht="10.5" customHeight="1"/>
    <row r="1047012" ht="10.5" customHeight="1"/>
    <row r="1047013" ht="10.5" customHeight="1"/>
    <row r="1047014" ht="10.5" customHeight="1"/>
    <row r="1047015" ht="10.5" customHeight="1"/>
    <row r="1047016" ht="10.5" customHeight="1"/>
    <row r="1047017" ht="10.5" customHeight="1"/>
    <row r="1047018" ht="10.5" customHeight="1"/>
    <row r="1047019" ht="10.5" customHeight="1"/>
    <row r="1047020" ht="10.5" customHeight="1"/>
    <row r="1047021" ht="10.5" customHeight="1"/>
    <row r="1047022" ht="10.5" customHeight="1"/>
    <row r="1047023" ht="10.5" customHeight="1"/>
    <row r="1047024" ht="10.5" customHeight="1"/>
    <row r="1047025" ht="10.5" customHeight="1"/>
    <row r="1047026" ht="10.5" customHeight="1"/>
    <row r="1047027" ht="10.5" customHeight="1"/>
    <row r="1047028" ht="10.5" customHeight="1"/>
    <row r="1047029" ht="10.5" customHeight="1"/>
    <row r="1047030" ht="10.5" customHeight="1"/>
    <row r="1047031" ht="10.5" customHeight="1"/>
    <row r="1047032" ht="10.5" customHeight="1"/>
    <row r="1047033" ht="10.5" customHeight="1"/>
    <row r="1047034" ht="10.5" customHeight="1"/>
    <row r="1047035" ht="10.5" customHeight="1"/>
    <row r="1047036" ht="10.5" customHeight="1"/>
    <row r="1047037" ht="10.5" customHeight="1"/>
    <row r="1047038" ht="10.5" customHeight="1"/>
    <row r="1047039" ht="10.5" customHeight="1"/>
    <row r="1047040" ht="10.5" customHeight="1"/>
    <row r="1047041" ht="10.5" customHeight="1"/>
    <row r="1047042" ht="10.5" customHeight="1"/>
    <row r="1047043" ht="10.5" customHeight="1"/>
    <row r="1047044" ht="10.5" customHeight="1"/>
    <row r="1047045" ht="10.5" customHeight="1"/>
    <row r="1047046" ht="10.5" customHeight="1"/>
    <row r="1047047" ht="10.5" customHeight="1"/>
    <row r="1047048" ht="10.5" customHeight="1"/>
    <row r="1047049" ht="10.5" customHeight="1"/>
    <row r="1047050" ht="10.5" customHeight="1"/>
    <row r="1047051" ht="10.5" customHeight="1"/>
    <row r="1047052" ht="10.5" customHeight="1"/>
    <row r="1047053" ht="10.5" customHeight="1"/>
    <row r="1047054" ht="10.5" customHeight="1"/>
    <row r="1047055" ht="10.5" customHeight="1"/>
    <row r="1047056" ht="10.5" customHeight="1"/>
    <row r="1047057" ht="10.5" customHeight="1"/>
    <row r="1047058" ht="10.5" customHeight="1"/>
    <row r="1047059" ht="10.5" customHeight="1"/>
    <row r="1047060" ht="10.5" customHeight="1"/>
    <row r="1047061" ht="10.5" customHeight="1"/>
    <row r="1047062" ht="10.5" customHeight="1"/>
    <row r="1047063" ht="10.5" customHeight="1"/>
    <row r="1047064" ht="10.5" customHeight="1"/>
    <row r="1047065" ht="10.5" customHeight="1"/>
    <row r="1047066" ht="10.5" customHeight="1"/>
    <row r="1047067" ht="10.5" customHeight="1"/>
    <row r="1047068" ht="10.5" customHeight="1"/>
    <row r="1047069" ht="10.5" customHeight="1"/>
    <row r="1047070" ht="10.5" customHeight="1"/>
    <row r="1047071" ht="10.5" customHeight="1"/>
    <row r="1047072" ht="10.5" customHeight="1"/>
    <row r="1047073" ht="10.5" customHeight="1"/>
    <row r="1047074" ht="10.5" customHeight="1"/>
    <row r="1047075" ht="10.5" customHeight="1"/>
    <row r="1047076" ht="10.5" customHeight="1"/>
    <row r="1047077" ht="10.5" customHeight="1"/>
    <row r="1047078" ht="10.5" customHeight="1"/>
    <row r="1047079" ht="10.5" customHeight="1"/>
    <row r="1047080" ht="10.5" customHeight="1"/>
    <row r="1047081" ht="10.5" customHeight="1"/>
    <row r="1047082" ht="10.5" customHeight="1"/>
    <row r="1047083" ht="10.5" customHeight="1"/>
    <row r="1047084" ht="10.5" customHeight="1"/>
    <row r="1047085" ht="10.5" customHeight="1"/>
    <row r="1047086" ht="10.5" customHeight="1"/>
    <row r="1047087" ht="10.5" customHeight="1"/>
    <row r="1047088" ht="10.5" customHeight="1"/>
    <row r="1047089" ht="10.5" customHeight="1"/>
    <row r="1047090" ht="10.5" customHeight="1"/>
    <row r="1047091" ht="10.5" customHeight="1"/>
    <row r="1047092" ht="10.5" customHeight="1"/>
    <row r="1047093" ht="10.5" customHeight="1"/>
    <row r="1047094" ht="10.5" customHeight="1"/>
    <row r="1047095" ht="10.5" customHeight="1"/>
    <row r="1047096" ht="10.5" customHeight="1"/>
    <row r="1047097" ht="10.5" customHeight="1"/>
    <row r="1047098" ht="10.5" customHeight="1"/>
    <row r="1047099" ht="10.5" customHeight="1"/>
    <row r="1047100" ht="10.5" customHeight="1"/>
    <row r="1047101" ht="10.5" customHeight="1"/>
    <row r="1047102" ht="10.5" customHeight="1"/>
    <row r="1047103" ht="10.5" customHeight="1"/>
    <row r="1047104" ht="10.5" customHeight="1"/>
    <row r="1047105" ht="10.5" customHeight="1"/>
    <row r="1047106" ht="10.5" customHeight="1"/>
    <row r="1047107" ht="10.5" customHeight="1"/>
    <row r="1047108" ht="10.5" customHeight="1"/>
    <row r="1047109" ht="10.5" customHeight="1"/>
    <row r="1047110" ht="10.5" customHeight="1"/>
    <row r="1047111" ht="10.5" customHeight="1"/>
    <row r="1047112" ht="10.5" customHeight="1"/>
    <row r="1047113" ht="10.5" customHeight="1"/>
    <row r="1047114" ht="10.5" customHeight="1"/>
    <row r="1047115" ht="10.5" customHeight="1"/>
    <row r="1047116" ht="10.5" customHeight="1"/>
    <row r="1047117" ht="10.5" customHeight="1"/>
    <row r="1047118" ht="10.5" customHeight="1"/>
    <row r="1047119" ht="10.5" customHeight="1"/>
    <row r="1047120" ht="10.5" customHeight="1"/>
    <row r="1047121" ht="10.5" customHeight="1"/>
    <row r="1047122" ht="10.5" customHeight="1"/>
    <row r="1047123" ht="10.5" customHeight="1"/>
    <row r="1047124" ht="10.5" customHeight="1"/>
    <row r="1047125" ht="10.5" customHeight="1"/>
    <row r="1047126" ht="10.5" customHeight="1"/>
    <row r="1047127" ht="10.5" customHeight="1"/>
    <row r="1047128" ht="10.5" customHeight="1"/>
    <row r="1047129" ht="10.5" customHeight="1"/>
    <row r="1047130" ht="10.5" customHeight="1"/>
    <row r="1047131" ht="10.5" customHeight="1"/>
    <row r="1047132" ht="10.5" customHeight="1"/>
    <row r="1047133" ht="10.5" customHeight="1"/>
    <row r="1047134" ht="10.5" customHeight="1"/>
    <row r="1047135" ht="10.5" customHeight="1"/>
    <row r="1047136" ht="10.5" customHeight="1"/>
    <row r="1047137" ht="10.5" customHeight="1"/>
    <row r="1047138" ht="10.5" customHeight="1"/>
    <row r="1047139" ht="10.5" customHeight="1"/>
    <row r="1047140" ht="10.5" customHeight="1"/>
    <row r="1047141" ht="10.5" customHeight="1"/>
    <row r="1047142" ht="10.5" customHeight="1"/>
    <row r="1047143" ht="10.5" customHeight="1"/>
    <row r="1047144" ht="10.5" customHeight="1"/>
    <row r="1047145" ht="10.5" customHeight="1"/>
    <row r="1047146" ht="10.5" customHeight="1"/>
    <row r="1047147" ht="10.5" customHeight="1"/>
    <row r="1047148" ht="10.5" customHeight="1"/>
    <row r="1047149" ht="10.5" customHeight="1"/>
    <row r="1047150" ht="10.5" customHeight="1"/>
    <row r="1047151" ht="10.5" customHeight="1"/>
    <row r="1047152" ht="10.5" customHeight="1"/>
    <row r="1047153" ht="10.5" customHeight="1"/>
    <row r="1047154" ht="10.5" customHeight="1"/>
    <row r="1047155" ht="10.5" customHeight="1"/>
    <row r="1047156" ht="10.5" customHeight="1"/>
    <row r="1047157" ht="10.5" customHeight="1"/>
    <row r="1047158" ht="10.5" customHeight="1"/>
    <row r="1047159" ht="10.5" customHeight="1"/>
    <row r="1047160" ht="10.5" customHeight="1"/>
    <row r="1047161" ht="10.5" customHeight="1"/>
    <row r="1047162" ht="10.5" customHeight="1"/>
    <row r="1047163" ht="10.5" customHeight="1"/>
    <row r="1047164" ht="10.5" customHeight="1"/>
    <row r="1047165" ht="10.5" customHeight="1"/>
    <row r="1047166" ht="10.5" customHeight="1"/>
    <row r="1047167" ht="10.5" customHeight="1"/>
    <row r="1047168" ht="10.5" customHeight="1"/>
    <row r="1047169" ht="10.5" customHeight="1"/>
    <row r="1047170" ht="10.5" customHeight="1"/>
    <row r="1047171" ht="10.5" customHeight="1"/>
    <row r="1047172" ht="10.5" customHeight="1"/>
    <row r="1047173" ht="10.5" customHeight="1"/>
    <row r="1047174" ht="10.5" customHeight="1"/>
    <row r="1047175" ht="10.5" customHeight="1"/>
    <row r="1047176" ht="10.5" customHeight="1"/>
    <row r="1047177" ht="10.5" customHeight="1"/>
    <row r="1047178" ht="10.5" customHeight="1"/>
    <row r="1047179" ht="10.5" customHeight="1"/>
    <row r="1047180" ht="10.5" customHeight="1"/>
    <row r="1047181" ht="10.5" customHeight="1"/>
    <row r="1047182" ht="10.5" customHeight="1"/>
    <row r="1047183" ht="10.5" customHeight="1"/>
    <row r="1047184" ht="10.5" customHeight="1"/>
    <row r="1047185" ht="10.5" customHeight="1"/>
    <row r="1047186" ht="10.5" customHeight="1"/>
    <row r="1047187" ht="10.5" customHeight="1"/>
    <row r="1047188" ht="10.5" customHeight="1"/>
    <row r="1047189" ht="10.5" customHeight="1"/>
    <row r="1047190" ht="10.5" customHeight="1"/>
    <row r="1047191" ht="10.5" customHeight="1"/>
    <row r="1047192" ht="10.5" customHeight="1"/>
    <row r="1047193" ht="10.5" customHeight="1"/>
    <row r="1047194" ht="10.5" customHeight="1"/>
    <row r="1047195" ht="10.5" customHeight="1"/>
    <row r="1047196" ht="10.5" customHeight="1"/>
    <row r="1047197" ht="10.5" customHeight="1"/>
    <row r="1047198" ht="10.5" customHeight="1"/>
    <row r="1047199" ht="10.5" customHeight="1"/>
    <row r="1047200" ht="10.5" customHeight="1"/>
    <row r="1047201" ht="10.5" customHeight="1"/>
    <row r="1047202" ht="10.5" customHeight="1"/>
    <row r="1047203" ht="10.5" customHeight="1"/>
    <row r="1047204" ht="10.5" customHeight="1"/>
    <row r="1047205" ht="10.5" customHeight="1"/>
    <row r="1047206" ht="10.5" customHeight="1"/>
    <row r="1047207" ht="10.5" customHeight="1"/>
    <row r="1047208" ht="10.5" customHeight="1"/>
    <row r="1047209" ht="10.5" customHeight="1"/>
    <row r="1047210" ht="10.5" customHeight="1"/>
    <row r="1047211" ht="10.5" customHeight="1"/>
    <row r="1047212" ht="10.5" customHeight="1"/>
    <row r="1047213" ht="10.5" customHeight="1"/>
    <row r="1047214" ht="10.5" customHeight="1"/>
    <row r="1047215" ht="10.5" customHeight="1"/>
    <row r="1047216" ht="10.5" customHeight="1"/>
    <row r="1047217" ht="10.5" customHeight="1"/>
    <row r="1047218" ht="10.5" customHeight="1"/>
    <row r="1047219" ht="10.5" customHeight="1"/>
    <row r="1047220" ht="10.5" customHeight="1"/>
    <row r="1047221" ht="10.5" customHeight="1"/>
    <row r="1047222" ht="10.5" customHeight="1"/>
    <row r="1047223" ht="10.5" customHeight="1"/>
    <row r="1047224" ht="10.5" customHeight="1"/>
    <row r="1047225" ht="10.5" customHeight="1"/>
    <row r="1047226" ht="10.5" customHeight="1"/>
    <row r="1047227" ht="10.5" customHeight="1"/>
    <row r="1047228" ht="10.5" customHeight="1"/>
    <row r="1047229" ht="10.5" customHeight="1"/>
    <row r="1047230" ht="10.5" customHeight="1"/>
    <row r="1047231" ht="10.5" customHeight="1"/>
    <row r="1047232" ht="10.5" customHeight="1"/>
    <row r="1047233" ht="10.5" customHeight="1"/>
    <row r="1047234" ht="10.5" customHeight="1"/>
    <row r="1047235" ht="10.5" customHeight="1"/>
    <row r="1047236" ht="10.5" customHeight="1"/>
    <row r="1047237" ht="10.5" customHeight="1"/>
    <row r="1047238" ht="10.5" customHeight="1"/>
    <row r="1047239" ht="10.5" customHeight="1"/>
    <row r="1047240" ht="10.5" customHeight="1"/>
    <row r="1047241" ht="10.5" customHeight="1"/>
    <row r="1047242" ht="10.5" customHeight="1"/>
    <row r="1047243" ht="10.5" customHeight="1"/>
    <row r="1047244" ht="10.5" customHeight="1"/>
    <row r="1047245" ht="10.5" customHeight="1"/>
    <row r="1047246" ht="10.5" customHeight="1"/>
    <row r="1047247" ht="10.5" customHeight="1"/>
    <row r="1047248" ht="10.5" customHeight="1"/>
    <row r="1047249" ht="10.5" customHeight="1"/>
    <row r="1047250" ht="10.5" customHeight="1"/>
    <row r="1047251" ht="10.5" customHeight="1"/>
    <row r="1047252" ht="10.5" customHeight="1"/>
    <row r="1047253" ht="10.5" customHeight="1"/>
    <row r="1047254" ht="10.5" customHeight="1"/>
    <row r="1047255" ht="10.5" customHeight="1"/>
    <row r="1047256" ht="10.5" customHeight="1"/>
    <row r="1047257" ht="10.5" customHeight="1"/>
    <row r="1047258" ht="10.5" customHeight="1"/>
    <row r="1047259" ht="10.5" customHeight="1"/>
    <row r="1047260" ht="10.5" customHeight="1"/>
    <row r="1047261" ht="10.5" customHeight="1"/>
    <row r="1047262" ht="10.5" customHeight="1"/>
    <row r="1047263" ht="10.5" customHeight="1"/>
    <row r="1047264" ht="10.5" customHeight="1"/>
    <row r="1047265" ht="10.5" customHeight="1"/>
    <row r="1047266" ht="10.5" customHeight="1"/>
    <row r="1047267" ht="10.5" customHeight="1"/>
    <row r="1047268" ht="10.5" customHeight="1"/>
    <row r="1047269" ht="10.5" customHeight="1"/>
    <row r="1047270" ht="10.5" customHeight="1"/>
    <row r="1047271" ht="10.5" customHeight="1"/>
    <row r="1047272" ht="10.5" customHeight="1"/>
    <row r="1047273" ht="10.5" customHeight="1"/>
    <row r="1047274" ht="10.5" customHeight="1"/>
    <row r="1047275" ht="10.5" customHeight="1"/>
    <row r="1047276" ht="10.5" customHeight="1"/>
    <row r="1047277" ht="10.5" customHeight="1"/>
    <row r="1047278" ht="10.5" customHeight="1"/>
    <row r="1047279" ht="10.5" customHeight="1"/>
    <row r="1047280" ht="10.5" customHeight="1"/>
    <row r="1047281" ht="10.5" customHeight="1"/>
    <row r="1047282" ht="10.5" customHeight="1"/>
    <row r="1047283" ht="10.5" customHeight="1"/>
    <row r="1047284" ht="10.5" customHeight="1"/>
    <row r="1047285" ht="10.5" customHeight="1"/>
    <row r="1047286" ht="10.5" customHeight="1"/>
    <row r="1047287" ht="10.5" customHeight="1"/>
    <row r="1047288" ht="10.5" customHeight="1"/>
    <row r="1047289" ht="10.5" customHeight="1"/>
    <row r="1047290" ht="10.5" customHeight="1"/>
    <row r="1047291" ht="10.5" customHeight="1"/>
    <row r="1047292" ht="10.5" customHeight="1"/>
    <row r="1047293" ht="10.5" customHeight="1"/>
    <row r="1047294" ht="10.5" customHeight="1"/>
    <row r="1047295" ht="10.5" customHeight="1"/>
    <row r="1047296" ht="10.5" customHeight="1"/>
    <row r="1047297" ht="10.5" customHeight="1"/>
    <row r="1047298" ht="10.5" customHeight="1"/>
    <row r="1047299" ht="10.5" customHeight="1"/>
    <row r="1047300" ht="10.5" customHeight="1"/>
    <row r="1047301" ht="10.5" customHeight="1"/>
    <row r="1047302" ht="10.5" customHeight="1"/>
    <row r="1047303" ht="10.5" customHeight="1"/>
    <row r="1047304" ht="10.5" customHeight="1"/>
    <row r="1047305" ht="10.5" customHeight="1"/>
    <row r="1047306" ht="10.5" customHeight="1"/>
    <row r="1047307" ht="10.5" customHeight="1"/>
    <row r="1047308" ht="10.5" customHeight="1"/>
    <row r="1047309" ht="10.5" customHeight="1"/>
    <row r="1047310" ht="10.5" customHeight="1"/>
    <row r="1047311" ht="10.5" customHeight="1"/>
    <row r="1047312" ht="10.5" customHeight="1"/>
    <row r="1047313" ht="10.5" customHeight="1"/>
    <row r="1047314" ht="10.5" customHeight="1"/>
    <row r="1047315" ht="10.5" customHeight="1"/>
    <row r="1047316" ht="10.5" customHeight="1"/>
    <row r="1047317" ht="10.5" customHeight="1"/>
    <row r="1047318" ht="10.5" customHeight="1"/>
    <row r="1047319" ht="10.5" customHeight="1"/>
    <row r="1047320" ht="10.5" customHeight="1"/>
    <row r="1047321" ht="10.5" customHeight="1"/>
    <row r="1047322" ht="10.5" customHeight="1"/>
    <row r="1047323" ht="10.5" customHeight="1"/>
    <row r="1047324" ht="10.5" customHeight="1"/>
    <row r="1047325" ht="10.5" customHeight="1"/>
    <row r="1047326" ht="10.5" customHeight="1"/>
    <row r="1047327" ht="10.5" customHeight="1"/>
    <row r="1047328" ht="10.5" customHeight="1"/>
    <row r="1047329" ht="10.5" customHeight="1"/>
    <row r="1047330" ht="10.5" customHeight="1"/>
    <row r="1047331" ht="10.5" customHeight="1"/>
    <row r="1047332" ht="10.5" customHeight="1"/>
    <row r="1047333" ht="10.5" customHeight="1"/>
    <row r="1047334" ht="10.5" customHeight="1"/>
    <row r="1047335" ht="10.5" customHeight="1"/>
    <row r="1047336" ht="10.5" customHeight="1"/>
    <row r="1047337" ht="10.5" customHeight="1"/>
    <row r="1047338" ht="10.5" customHeight="1"/>
    <row r="1047339" ht="10.5" customHeight="1"/>
    <row r="1047340" ht="10.5" customHeight="1"/>
    <row r="1047341" ht="10.5" customHeight="1"/>
    <row r="1047342" ht="10.5" customHeight="1"/>
    <row r="1047343" ht="10.5" customHeight="1"/>
    <row r="1047344" ht="10.5" customHeight="1"/>
    <row r="1047345" ht="10.5" customHeight="1"/>
    <row r="1047346" ht="10.5" customHeight="1"/>
    <row r="1047347" ht="10.5" customHeight="1"/>
    <row r="1047348" ht="10.5" customHeight="1"/>
    <row r="1047349" ht="10.5" customHeight="1"/>
    <row r="1047350" ht="10.5" customHeight="1"/>
    <row r="1047351" ht="10.5" customHeight="1"/>
    <row r="1047352" ht="10.5" customHeight="1"/>
    <row r="1047353" ht="10.5" customHeight="1"/>
    <row r="1047354" ht="10.5" customHeight="1"/>
    <row r="1047355" ht="10.5" customHeight="1"/>
    <row r="1047356" ht="10.5" customHeight="1"/>
    <row r="1047357" ht="10.5" customHeight="1"/>
    <row r="1047358" ht="10.5" customHeight="1"/>
    <row r="1047359" ht="10.5" customHeight="1"/>
    <row r="1047360" ht="10.5" customHeight="1"/>
    <row r="1047361" ht="10.5" customHeight="1"/>
    <row r="1047362" ht="10.5" customHeight="1"/>
    <row r="1047363" ht="10.5" customHeight="1"/>
    <row r="1047364" ht="10.5" customHeight="1"/>
    <row r="1047365" ht="10.5" customHeight="1"/>
    <row r="1047366" ht="10.5" customHeight="1"/>
    <row r="1047367" ht="10.5" customHeight="1"/>
    <row r="1047368" ht="10.5" customHeight="1"/>
    <row r="1047369" ht="10.5" customHeight="1"/>
    <row r="1047370" ht="10.5" customHeight="1"/>
    <row r="1047371" ht="10.5" customHeight="1"/>
    <row r="1047372" ht="10.5" customHeight="1"/>
    <row r="1047373" ht="10.5" customHeight="1"/>
    <row r="1047374" ht="10.5" customHeight="1"/>
    <row r="1047375" ht="10.5" customHeight="1"/>
    <row r="1047376" ht="10.5" customHeight="1"/>
    <row r="1047377" ht="10.5" customHeight="1"/>
    <row r="1047378" ht="10.5" customHeight="1"/>
    <row r="1047379" ht="10.5" customHeight="1"/>
    <row r="1047380" ht="10.5" customHeight="1"/>
    <row r="1047381" ht="10.5" customHeight="1"/>
    <row r="1047382" ht="10.5" customHeight="1"/>
    <row r="1047383" ht="10.5" customHeight="1"/>
    <row r="1047384" ht="10.5" customHeight="1"/>
    <row r="1047385" ht="10.5" customHeight="1"/>
    <row r="1047386" ht="10.5" customHeight="1"/>
    <row r="1047387" ht="10.5" customHeight="1"/>
    <row r="1047388" ht="10.5" customHeight="1"/>
    <row r="1047389" ht="10.5" customHeight="1"/>
    <row r="1047390" ht="10.5" customHeight="1"/>
    <row r="1047391" ht="10.5" customHeight="1"/>
    <row r="1047392" ht="10.5" customHeight="1"/>
    <row r="1047393" ht="10.5" customHeight="1"/>
    <row r="1047394" ht="10.5" customHeight="1"/>
    <row r="1047395" ht="10.5" customHeight="1"/>
    <row r="1047396" ht="10.5" customHeight="1"/>
    <row r="1047397" ht="10.5" customHeight="1"/>
    <row r="1047398" ht="10.5" customHeight="1"/>
    <row r="1047399" ht="10.5" customHeight="1"/>
    <row r="1047400" ht="10.5" customHeight="1"/>
    <row r="1047401" ht="10.5" customHeight="1"/>
    <row r="1047402" ht="10.5" customHeight="1"/>
    <row r="1047403" ht="10.5" customHeight="1"/>
    <row r="1047404" ht="10.5" customHeight="1"/>
    <row r="1047405" ht="10.5" customHeight="1"/>
    <row r="1047406" ht="10.5" customHeight="1"/>
    <row r="1047407" ht="10.5" customHeight="1"/>
    <row r="1047408" ht="10.5" customHeight="1"/>
    <row r="1047409" ht="10.5" customHeight="1"/>
    <row r="1047410" ht="10.5" customHeight="1"/>
    <row r="1047411" ht="10.5" customHeight="1"/>
    <row r="1047412" ht="10.5" customHeight="1"/>
    <row r="1047413" ht="10.5" customHeight="1"/>
    <row r="1047414" ht="10.5" customHeight="1"/>
    <row r="1047415" ht="10.5" customHeight="1"/>
    <row r="1047416" ht="10.5" customHeight="1"/>
    <row r="1047417" ht="10.5" customHeight="1"/>
    <row r="1047418" ht="10.5" customHeight="1"/>
    <row r="1047419" ht="10.5" customHeight="1"/>
    <row r="1047420" ht="10.5" customHeight="1"/>
    <row r="1047421" ht="10.5" customHeight="1"/>
    <row r="1047422" ht="10.5" customHeight="1"/>
    <row r="1047423" ht="10.5" customHeight="1"/>
    <row r="1047424" ht="10.5" customHeight="1"/>
    <row r="1047425" ht="10.5" customHeight="1"/>
    <row r="1047426" ht="10.5" customHeight="1"/>
    <row r="1047427" ht="10.5" customHeight="1"/>
    <row r="1047428" ht="10.5" customHeight="1"/>
    <row r="1047429" ht="10.5" customHeight="1"/>
    <row r="1047430" ht="10.5" customHeight="1"/>
    <row r="1047431" ht="10.5" customHeight="1"/>
    <row r="1047432" ht="10.5" customHeight="1"/>
    <row r="1047433" ht="10.5" customHeight="1"/>
    <row r="1047434" ht="10.5" customHeight="1"/>
    <row r="1047435" ht="10.5" customHeight="1"/>
    <row r="1047436" ht="10.5" customHeight="1"/>
    <row r="1047437" ht="10.5" customHeight="1"/>
    <row r="1047438" ht="10.5" customHeight="1"/>
    <row r="1047439" ht="10.5" customHeight="1"/>
    <row r="1047440" ht="10.5" customHeight="1"/>
    <row r="1047441" ht="10.5" customHeight="1"/>
    <row r="1047442" ht="10.5" customHeight="1"/>
    <row r="1047443" ht="10.5" customHeight="1"/>
    <row r="1047444" ht="10.5" customHeight="1"/>
    <row r="1047445" ht="10.5" customHeight="1"/>
    <row r="1047446" ht="10.5" customHeight="1"/>
    <row r="1047447" ht="10.5" customHeight="1"/>
    <row r="1047448" ht="10.5" customHeight="1"/>
    <row r="1047449" ht="10.5" customHeight="1"/>
    <row r="1047450" ht="10.5" customHeight="1"/>
    <row r="1047451" ht="10.5" customHeight="1"/>
    <row r="1047452" ht="10.5" customHeight="1"/>
    <row r="1047453" ht="10.5" customHeight="1"/>
    <row r="1047454" ht="10.5" customHeight="1"/>
    <row r="1047455" ht="10.5" customHeight="1"/>
    <row r="1047456" ht="10.5" customHeight="1"/>
    <row r="1047457" ht="10.5" customHeight="1"/>
    <row r="1047458" ht="10.5" customHeight="1"/>
    <row r="1047459" ht="10.5" customHeight="1"/>
    <row r="1047460" ht="10.5" customHeight="1"/>
    <row r="1047461" ht="10.5" customHeight="1"/>
    <row r="1047462" ht="10.5" customHeight="1"/>
    <row r="1047463" ht="10.5" customHeight="1"/>
    <row r="1047464" ht="10.5" customHeight="1"/>
    <row r="1047465" ht="10.5" customHeight="1"/>
    <row r="1047466" ht="10.5" customHeight="1"/>
    <row r="1047467" ht="10.5" customHeight="1"/>
    <row r="1047468" ht="10.5" customHeight="1"/>
    <row r="1047469" ht="10.5" customHeight="1"/>
    <row r="1047470" ht="10.5" customHeight="1"/>
    <row r="1047471" ht="10.5" customHeight="1"/>
    <row r="1047472" ht="10.5" customHeight="1"/>
    <row r="1047473" ht="10.5" customHeight="1"/>
    <row r="1047474" ht="10.5" customHeight="1"/>
    <row r="1047475" ht="10.5" customHeight="1"/>
    <row r="1047476" ht="10.5" customHeight="1"/>
    <row r="1047477" ht="10.5" customHeight="1"/>
    <row r="1047478" ht="10.5" customHeight="1"/>
    <row r="1047479" ht="10.5" customHeight="1"/>
    <row r="1047480" ht="10.5" customHeight="1"/>
    <row r="1047481" ht="10.5" customHeight="1"/>
    <row r="1047482" ht="10.5" customHeight="1"/>
    <row r="1047483" ht="10.5" customHeight="1"/>
    <row r="1047484" ht="10.5" customHeight="1"/>
    <row r="1047485" ht="10.5" customHeight="1"/>
    <row r="1047486" ht="10.5" customHeight="1"/>
    <row r="1047487" ht="10.5" customHeight="1"/>
    <row r="1047488" ht="10.5" customHeight="1"/>
    <row r="1047489" ht="10.5" customHeight="1"/>
    <row r="1047490" ht="10.5" customHeight="1"/>
    <row r="1047491" ht="10.5" customHeight="1"/>
    <row r="1047492" ht="10.5" customHeight="1"/>
    <row r="1047493" ht="10.5" customHeight="1"/>
    <row r="1047494" ht="10.5" customHeight="1"/>
    <row r="1047495" ht="10.5" customHeight="1"/>
    <row r="1047496" ht="10.5" customHeight="1"/>
    <row r="1047497" ht="10.5" customHeight="1"/>
    <row r="1047498" ht="10.5" customHeight="1"/>
    <row r="1047499" ht="10.5" customHeight="1"/>
    <row r="1047500" ht="10.5" customHeight="1"/>
    <row r="1047501" ht="10.5" customHeight="1"/>
    <row r="1047502" ht="10.5" customHeight="1"/>
    <row r="1047503" ht="10.5" customHeight="1"/>
    <row r="1047504" ht="10.5" customHeight="1"/>
    <row r="1047505" ht="10.5" customHeight="1"/>
    <row r="1047506" ht="10.5" customHeight="1"/>
    <row r="1047507" ht="10.5" customHeight="1"/>
    <row r="1047508" ht="10.5" customHeight="1"/>
    <row r="1047509" ht="10.5" customHeight="1"/>
    <row r="1047510" ht="10.5" customHeight="1"/>
    <row r="1047511" ht="10.5" customHeight="1"/>
    <row r="1047512" ht="10.5" customHeight="1"/>
    <row r="1047513" ht="10.5" customHeight="1"/>
    <row r="1047514" ht="10.5" customHeight="1"/>
    <row r="1047515" ht="10.5" customHeight="1"/>
    <row r="1047516" ht="10.5" customHeight="1"/>
    <row r="1047517" ht="10.5" customHeight="1"/>
    <row r="1047518" ht="10.5" customHeight="1"/>
    <row r="1047519" ht="10.5" customHeight="1"/>
    <row r="1047520" ht="10.5" customHeight="1"/>
    <row r="1047521" ht="10.5" customHeight="1"/>
    <row r="1047522" ht="10.5" customHeight="1"/>
    <row r="1047523" ht="10.5" customHeight="1"/>
    <row r="1047524" ht="10.5" customHeight="1"/>
    <row r="1047525" ht="10.5" customHeight="1"/>
    <row r="1047526" ht="10.5" customHeight="1"/>
    <row r="1047527" ht="10.5" customHeight="1"/>
    <row r="1047528" ht="10.5" customHeight="1"/>
    <row r="1047529" ht="10.5" customHeight="1"/>
    <row r="1047530" ht="10.5" customHeight="1"/>
    <row r="1047531" ht="10.5" customHeight="1"/>
    <row r="1047532" ht="10.5" customHeight="1"/>
    <row r="1047533" ht="10.5" customHeight="1"/>
    <row r="1047534" ht="10.5" customHeight="1"/>
    <row r="1047535" ht="10.5" customHeight="1"/>
    <row r="1047536" ht="10.5" customHeight="1"/>
    <row r="1047537" ht="10.5" customHeight="1"/>
    <row r="1047538" ht="10.5" customHeight="1"/>
    <row r="1047539" ht="10.5" customHeight="1"/>
    <row r="1047540" ht="10.5" customHeight="1"/>
    <row r="1047541" ht="10.5" customHeight="1"/>
    <row r="1047542" ht="10.5" customHeight="1"/>
    <row r="1047543" ht="10.5" customHeight="1"/>
    <row r="1047544" ht="10.5" customHeight="1"/>
    <row r="1047545" ht="10.5" customHeight="1"/>
    <row r="1047546" ht="10.5" customHeight="1"/>
    <row r="1047547" ht="10.5" customHeight="1"/>
    <row r="1047548" ht="10.5" customHeight="1"/>
    <row r="1047549" ht="10.5" customHeight="1"/>
    <row r="1047550" ht="10.5" customHeight="1"/>
    <row r="1047551" ht="10.5" customHeight="1"/>
    <row r="1047552" ht="10.5" customHeight="1"/>
    <row r="1047553" ht="10.5" customHeight="1"/>
    <row r="1047554" ht="10.5" customHeight="1"/>
    <row r="1047555" ht="10.5" customHeight="1"/>
    <row r="1047556" ht="10.5" customHeight="1"/>
    <row r="1047557" ht="10.5" customHeight="1"/>
    <row r="1047558" ht="10.5" customHeight="1"/>
    <row r="1047559" ht="10.5" customHeight="1"/>
    <row r="1047560" ht="10.5" customHeight="1"/>
    <row r="1047561" ht="10.5" customHeight="1"/>
    <row r="1047562" ht="10.5" customHeight="1"/>
    <row r="1047563" ht="10.5" customHeight="1"/>
    <row r="1047564" ht="10.5" customHeight="1"/>
    <row r="1047565" ht="10.5" customHeight="1"/>
    <row r="1047566" ht="10.5" customHeight="1"/>
    <row r="1047567" ht="10.5" customHeight="1"/>
    <row r="1047568" ht="10.5" customHeight="1"/>
    <row r="1047569" ht="10.5" customHeight="1"/>
    <row r="1047570" ht="10.5" customHeight="1"/>
    <row r="1047571" ht="10.5" customHeight="1"/>
    <row r="1047572" ht="10.5" customHeight="1"/>
    <row r="1047573" ht="10.5" customHeight="1"/>
    <row r="1047574" ht="10.5" customHeight="1"/>
    <row r="1047575" ht="10.5" customHeight="1"/>
    <row r="1047576" ht="10.5" customHeight="1"/>
    <row r="1047577" ht="10.5" customHeight="1"/>
    <row r="1047578" ht="10.5" customHeight="1"/>
    <row r="1047579" ht="10.5" customHeight="1"/>
    <row r="1047580" ht="10.5" customHeight="1"/>
    <row r="1047581" ht="10.5" customHeight="1"/>
    <row r="1047582" ht="10.5" customHeight="1"/>
    <row r="1047583" ht="10.5" customHeight="1"/>
    <row r="1047584" ht="10.5" customHeight="1"/>
    <row r="1047585" ht="10.5" customHeight="1"/>
    <row r="1047586" ht="10.5" customHeight="1"/>
    <row r="1047587" ht="10.5" customHeight="1"/>
    <row r="1047588" ht="10.5" customHeight="1"/>
    <row r="1047589" ht="10.5" customHeight="1"/>
    <row r="1047590" ht="10.5" customHeight="1"/>
    <row r="1047591" ht="10.5" customHeight="1"/>
    <row r="1047592" ht="10.5" customHeight="1"/>
    <row r="1047593" ht="10.5" customHeight="1"/>
    <row r="1047594" ht="10.5" customHeight="1"/>
    <row r="1047595" ht="10.5" customHeight="1"/>
    <row r="1047596" ht="10.5" customHeight="1"/>
    <row r="1047597" ht="10.5" customHeight="1"/>
    <row r="1047598" ht="10.5" customHeight="1"/>
    <row r="1047599" ht="10.5" customHeight="1"/>
    <row r="1047600" ht="10.5" customHeight="1"/>
    <row r="1047601" ht="10.5" customHeight="1"/>
    <row r="1047602" ht="10.5" customHeight="1"/>
    <row r="1047603" ht="10.5" customHeight="1"/>
    <row r="1047604" ht="10.5" customHeight="1"/>
    <row r="1047605" ht="10.5" customHeight="1"/>
    <row r="1047606" ht="10.5" customHeight="1"/>
    <row r="1047607" ht="10.5" customHeight="1"/>
    <row r="1047608" ht="10.5" customHeight="1"/>
    <row r="1047609" ht="10.5" customHeight="1"/>
    <row r="1047610" ht="10.5" customHeight="1"/>
    <row r="1047611" ht="10.5" customHeight="1"/>
    <row r="1047612" ht="10.5" customHeight="1"/>
    <row r="1047613" ht="10.5" customHeight="1"/>
    <row r="1047614" ht="10.5" customHeight="1"/>
    <row r="1047615" ht="10.5" customHeight="1"/>
    <row r="1047616" ht="10.5" customHeight="1"/>
    <row r="1047617" ht="10.5" customHeight="1"/>
    <row r="1047618" ht="10.5" customHeight="1"/>
    <row r="1047619" ht="10.5" customHeight="1"/>
    <row r="1047620" ht="10.5" customHeight="1"/>
    <row r="1047621" ht="10.5" customHeight="1"/>
    <row r="1047622" ht="10.5" customHeight="1"/>
    <row r="1047623" ht="10.5" customHeight="1"/>
    <row r="1047624" ht="10.5" customHeight="1"/>
    <row r="1047625" ht="10.5" customHeight="1"/>
    <row r="1047626" ht="10.5" customHeight="1"/>
    <row r="1047627" ht="10.5" customHeight="1"/>
    <row r="1047628" ht="10.5" customHeight="1"/>
    <row r="1047629" ht="10.5" customHeight="1"/>
    <row r="1047630" ht="10.5" customHeight="1"/>
    <row r="1047631" ht="10.5" customHeight="1"/>
    <row r="1047632" ht="10.5" customHeight="1"/>
    <row r="1047633" ht="10.5" customHeight="1"/>
    <row r="1047634" ht="10.5" customHeight="1"/>
    <row r="1047635" ht="10.5" customHeight="1"/>
    <row r="1047636" ht="10.5" customHeight="1"/>
    <row r="1047637" ht="10.5" customHeight="1"/>
    <row r="1047638" ht="10.5" customHeight="1"/>
    <row r="1047639" ht="10.5" customHeight="1"/>
    <row r="1047640" ht="10.5" customHeight="1"/>
    <row r="1047641" ht="10.5" customHeight="1"/>
    <row r="1047642" ht="10.5" customHeight="1"/>
    <row r="1047643" ht="10.5" customHeight="1"/>
    <row r="1047644" ht="10.5" customHeight="1"/>
    <row r="1047645" ht="10.5" customHeight="1"/>
    <row r="1047646" ht="10.5" customHeight="1"/>
    <row r="1047647" ht="10.5" customHeight="1"/>
    <row r="1047648" ht="10.5" customHeight="1"/>
    <row r="1047649" ht="10.5" customHeight="1"/>
    <row r="1047650" ht="10.5" customHeight="1"/>
    <row r="1047651" ht="10.5" customHeight="1"/>
    <row r="1047652" ht="10.5" customHeight="1"/>
    <row r="1047653" ht="10.5" customHeight="1"/>
    <row r="1047654" ht="10.5" customHeight="1"/>
    <row r="1047655" ht="10.5" customHeight="1"/>
    <row r="1047656" ht="10.5" customHeight="1"/>
    <row r="1047657" ht="10.5" customHeight="1"/>
    <row r="1047658" ht="10.5" customHeight="1"/>
    <row r="1047659" ht="10.5" customHeight="1"/>
    <row r="1047660" ht="10.5" customHeight="1"/>
    <row r="1047661" ht="10.5" customHeight="1"/>
    <row r="1047662" ht="10.5" customHeight="1"/>
    <row r="1047663" ht="10.5" customHeight="1"/>
    <row r="1047664" ht="10.5" customHeight="1"/>
    <row r="1047665" ht="10.5" customHeight="1"/>
    <row r="1047666" ht="10.5" customHeight="1"/>
    <row r="1047667" ht="10.5" customHeight="1"/>
    <row r="1047668" ht="10.5" customHeight="1"/>
    <row r="1047669" ht="10.5" customHeight="1"/>
    <row r="1047670" ht="10.5" customHeight="1"/>
    <row r="1047671" ht="10.5" customHeight="1"/>
    <row r="1047672" ht="10.5" customHeight="1"/>
    <row r="1047673" ht="10.5" customHeight="1"/>
    <row r="1047674" ht="10.5" customHeight="1"/>
    <row r="1047675" ht="10.5" customHeight="1"/>
    <row r="1047676" ht="10.5" customHeight="1"/>
    <row r="1047677" ht="10.5" customHeight="1"/>
    <row r="1047678" ht="10.5" customHeight="1"/>
    <row r="1047679" ht="10.5" customHeight="1"/>
    <row r="1047680" ht="10.5" customHeight="1"/>
    <row r="1047681" ht="10.5" customHeight="1"/>
    <row r="1047682" ht="10.5" customHeight="1"/>
    <row r="1047683" ht="10.5" customHeight="1"/>
    <row r="1047684" ht="10.5" customHeight="1"/>
    <row r="1047685" ht="10.5" customHeight="1"/>
    <row r="1047686" ht="10.5" customHeight="1"/>
    <row r="1047687" ht="10.5" customHeight="1"/>
    <row r="1047688" ht="10.5" customHeight="1"/>
    <row r="1047689" ht="10.5" customHeight="1"/>
    <row r="1047690" ht="10.5" customHeight="1"/>
    <row r="1047691" ht="10.5" customHeight="1"/>
    <row r="1047692" ht="10.5" customHeight="1"/>
    <row r="1047693" ht="10.5" customHeight="1"/>
    <row r="1047694" ht="10.5" customHeight="1"/>
    <row r="1047695" ht="10.5" customHeight="1"/>
    <row r="1047696" ht="10.5" customHeight="1"/>
    <row r="1047697" ht="10.5" customHeight="1"/>
    <row r="1047698" ht="10.5" customHeight="1"/>
    <row r="1047699" ht="10.5" customHeight="1"/>
    <row r="1047700" ht="10.5" customHeight="1"/>
    <row r="1047701" ht="10.5" customHeight="1"/>
    <row r="1047702" ht="10.5" customHeight="1"/>
    <row r="1047703" ht="10.5" customHeight="1"/>
    <row r="1047704" ht="10.5" customHeight="1"/>
    <row r="1047705" ht="10.5" customHeight="1"/>
    <row r="1047706" ht="10.5" customHeight="1"/>
    <row r="1047707" ht="10.5" customHeight="1"/>
    <row r="1047708" ht="10.5" customHeight="1"/>
    <row r="1047709" ht="10.5" customHeight="1"/>
    <row r="1047710" ht="10.5" customHeight="1"/>
    <row r="1047711" ht="10.5" customHeight="1"/>
    <row r="1047712" ht="10.5" customHeight="1"/>
    <row r="1047713" ht="10.5" customHeight="1"/>
    <row r="1047714" ht="10.5" customHeight="1"/>
    <row r="1047715" ht="10.5" customHeight="1"/>
    <row r="1047716" ht="10.5" customHeight="1"/>
    <row r="1047717" ht="10.5" customHeight="1"/>
    <row r="1047718" ht="10.5" customHeight="1"/>
    <row r="1047719" ht="10.5" customHeight="1"/>
    <row r="1047720" ht="10.5" customHeight="1"/>
    <row r="1047721" ht="10.5" customHeight="1"/>
    <row r="1047722" ht="10.5" customHeight="1"/>
    <row r="1047723" ht="10.5" customHeight="1"/>
    <row r="1047724" ht="10.5" customHeight="1"/>
    <row r="1047725" ht="10.5" customHeight="1"/>
    <row r="1047726" ht="10.5" customHeight="1"/>
    <row r="1047727" ht="10.5" customHeight="1"/>
    <row r="1047728" ht="10.5" customHeight="1"/>
    <row r="1047729" ht="10.5" customHeight="1"/>
    <row r="1047730" ht="10.5" customHeight="1"/>
    <row r="1047731" ht="10.5" customHeight="1"/>
    <row r="1047732" ht="10.5" customHeight="1"/>
    <row r="1047733" ht="10.5" customHeight="1"/>
    <row r="1047734" ht="10.5" customHeight="1"/>
    <row r="1047735" ht="10.5" customHeight="1"/>
    <row r="1047736" ht="10.5" customHeight="1"/>
    <row r="1047737" ht="10.5" customHeight="1"/>
    <row r="1047738" ht="10.5" customHeight="1"/>
    <row r="1047739" ht="10.5" customHeight="1"/>
    <row r="1047740" ht="10.5" customHeight="1"/>
    <row r="1047741" ht="10.5" customHeight="1"/>
    <row r="1047742" ht="10.5" customHeight="1"/>
    <row r="1047743" ht="10.5" customHeight="1"/>
    <row r="1047744" ht="10.5" customHeight="1"/>
    <row r="1047745" ht="10.5" customHeight="1"/>
    <row r="1047746" ht="10.5" customHeight="1"/>
    <row r="1047747" ht="10.5" customHeight="1"/>
    <row r="1047748" ht="10.5" customHeight="1"/>
    <row r="1047749" ht="10.5" customHeight="1"/>
    <row r="1047750" ht="10.5" customHeight="1"/>
    <row r="1047751" ht="10.5" customHeight="1"/>
    <row r="1047752" ht="10.5" customHeight="1"/>
    <row r="1047753" ht="10.5" customHeight="1"/>
    <row r="1047754" ht="10.5" customHeight="1"/>
    <row r="1047755" ht="10.5" customHeight="1"/>
    <row r="1047756" ht="10.5" customHeight="1"/>
    <row r="1047757" ht="10.5" customHeight="1"/>
    <row r="1047758" ht="10.5" customHeight="1"/>
    <row r="1047759" ht="10.5" customHeight="1"/>
    <row r="1047760" ht="10.5" customHeight="1"/>
    <row r="1047761" ht="10.5" customHeight="1"/>
    <row r="1047762" ht="10.5" customHeight="1"/>
    <row r="1047763" ht="10.5" customHeight="1"/>
    <row r="1047764" ht="10.5" customHeight="1"/>
    <row r="1047765" ht="10.5" customHeight="1"/>
    <row r="1047766" ht="10.5" customHeight="1"/>
    <row r="1047767" ht="10.5" customHeight="1"/>
    <row r="1047768" ht="10.5" customHeight="1"/>
    <row r="1047769" ht="10.5" customHeight="1"/>
    <row r="1047770" ht="10.5" customHeight="1"/>
    <row r="1047771" ht="10.5" customHeight="1"/>
    <row r="1047772" ht="10.5" customHeight="1"/>
    <row r="1047773" ht="10.5" customHeight="1"/>
    <row r="1047774" ht="10.5" customHeight="1"/>
    <row r="1047775" ht="10.5" customHeight="1"/>
    <row r="1047776" ht="10.5" customHeight="1"/>
    <row r="1047777" ht="10.5" customHeight="1"/>
    <row r="1047778" ht="10.5" customHeight="1"/>
    <row r="1047779" ht="10.5" customHeight="1"/>
    <row r="1047780" ht="10.5" customHeight="1"/>
    <row r="1047781" ht="10.5" customHeight="1"/>
    <row r="1047782" ht="10.5" customHeight="1"/>
    <row r="1047783" ht="10.5" customHeight="1"/>
    <row r="1047784" ht="10.5" customHeight="1"/>
    <row r="1047785" ht="10.5" customHeight="1"/>
    <row r="1047786" ht="10.5" customHeight="1"/>
    <row r="1047787" ht="10.5" customHeight="1"/>
    <row r="1047788" ht="10.5" customHeight="1"/>
    <row r="1047789" ht="10.5" customHeight="1"/>
    <row r="1047790" ht="10.5" customHeight="1"/>
    <row r="1047791" ht="10.5" customHeight="1"/>
    <row r="1047792" ht="10.5" customHeight="1"/>
    <row r="1047793" ht="10.5" customHeight="1"/>
    <row r="1047794" ht="10.5" customHeight="1"/>
    <row r="1047795" ht="10.5" customHeight="1"/>
    <row r="1047796" ht="10.5" customHeight="1"/>
    <row r="1047797" ht="10.5" customHeight="1"/>
    <row r="1047798" ht="10.5" customHeight="1"/>
    <row r="1047799" ht="10.5" customHeight="1"/>
    <row r="1047800" ht="10.5" customHeight="1"/>
    <row r="1047801" ht="10.5" customHeight="1"/>
    <row r="1047802" ht="10.5" customHeight="1"/>
    <row r="1047803" ht="10.5" customHeight="1"/>
    <row r="1047804" ht="10.5" customHeight="1"/>
    <row r="1047805" ht="10.5" customHeight="1"/>
    <row r="1047806" ht="10.5" customHeight="1"/>
    <row r="1047807" ht="10.5" customHeight="1"/>
    <row r="1047808" ht="10.5" customHeight="1"/>
    <row r="1047809" ht="10.5" customHeight="1"/>
    <row r="1047810" ht="10.5" customHeight="1"/>
    <row r="1047811" ht="10.5" customHeight="1"/>
    <row r="1047812" ht="10.5" customHeight="1"/>
    <row r="1047813" ht="10.5" customHeight="1"/>
    <row r="1047814" ht="10.5" customHeight="1"/>
    <row r="1047815" ht="10.5" customHeight="1"/>
    <row r="1047816" ht="10.5" customHeight="1"/>
    <row r="1047817" ht="10.5" customHeight="1"/>
    <row r="1047818" ht="10.5" customHeight="1"/>
    <row r="1047819" ht="10.5" customHeight="1"/>
    <row r="1047820" ht="10.5" customHeight="1"/>
    <row r="1047821" ht="10.5" customHeight="1"/>
    <row r="1047822" ht="10.5" customHeight="1"/>
    <row r="1047823" ht="10.5" customHeight="1"/>
    <row r="1047824" ht="10.5" customHeight="1"/>
    <row r="1047825" ht="10.5" customHeight="1"/>
    <row r="1047826" ht="10.5" customHeight="1"/>
    <row r="1047827" ht="10.5" customHeight="1"/>
    <row r="1047828" ht="10.5" customHeight="1"/>
    <row r="1047829" ht="10.5" customHeight="1"/>
    <row r="1047830" ht="10.5" customHeight="1"/>
    <row r="1047831" ht="10.5" customHeight="1"/>
    <row r="1047832" ht="10.5" customHeight="1"/>
    <row r="1047833" ht="10.5" customHeight="1"/>
    <row r="1047834" ht="10.5" customHeight="1"/>
    <row r="1047835" ht="10.5" customHeight="1"/>
    <row r="1047836" ht="10.5" customHeight="1"/>
    <row r="1047837" ht="10.5" customHeight="1"/>
    <row r="1047838" ht="10.5" customHeight="1"/>
    <row r="1047839" ht="10.5" customHeight="1"/>
    <row r="1047840" ht="10.5" customHeight="1"/>
    <row r="1047841" ht="10.5" customHeight="1"/>
    <row r="1047842" ht="10.5" customHeight="1"/>
    <row r="1047843" ht="10.5" customHeight="1"/>
    <row r="1047844" ht="10.5" customHeight="1"/>
    <row r="1047845" ht="10.5" customHeight="1"/>
    <row r="1047846" ht="10.5" customHeight="1"/>
    <row r="1047847" ht="10.5" customHeight="1"/>
    <row r="1047848" ht="10.5" customHeight="1"/>
    <row r="1047849" ht="10.5" customHeight="1"/>
    <row r="1047850" ht="10.5" customHeight="1"/>
    <row r="1047851" ht="10.5" customHeight="1"/>
    <row r="1047852" ht="10.5" customHeight="1"/>
    <row r="1047853" ht="10.5" customHeight="1"/>
    <row r="1047854" ht="10.5" customHeight="1"/>
    <row r="1047855" ht="10.5" customHeight="1"/>
    <row r="1047856" ht="10.5" customHeight="1"/>
    <row r="1047857" ht="10.5" customHeight="1"/>
    <row r="1047858" ht="10.5" customHeight="1"/>
    <row r="1047859" ht="10.5" customHeight="1"/>
    <row r="1047860" ht="10.5" customHeight="1"/>
    <row r="1047861" ht="10.5" customHeight="1"/>
    <row r="1047862" ht="10.5" customHeight="1"/>
    <row r="1047863" ht="10.5" customHeight="1"/>
    <row r="1047864" ht="10.5" customHeight="1"/>
    <row r="1047865" ht="10.5" customHeight="1"/>
    <row r="1047866" ht="10.5" customHeight="1"/>
    <row r="1047867" ht="10.5" customHeight="1"/>
    <row r="1047868" ht="10.5" customHeight="1"/>
    <row r="1047869" ht="10.5" customHeight="1"/>
    <row r="1047870" ht="10.5" customHeight="1"/>
    <row r="1047871" ht="10.5" customHeight="1"/>
    <row r="1047872" ht="10.5" customHeight="1"/>
    <row r="1047873" ht="10.5" customHeight="1"/>
    <row r="1047874" ht="10.5" customHeight="1"/>
    <row r="1047875" ht="10.5" customHeight="1"/>
    <row r="1047876" ht="10.5" customHeight="1"/>
    <row r="1047877" ht="10.5" customHeight="1"/>
    <row r="1047878" ht="10.5" customHeight="1"/>
    <row r="1047879" ht="10.5" customHeight="1"/>
    <row r="1047880" ht="10.5" customHeight="1"/>
    <row r="1047881" ht="10.5" customHeight="1"/>
    <row r="1047882" ht="10.5" customHeight="1"/>
    <row r="1047883" ht="10.5" customHeight="1"/>
    <row r="1047884" ht="10.5" customHeight="1"/>
    <row r="1047885" ht="10.5" customHeight="1"/>
    <row r="1047886" ht="10.5" customHeight="1"/>
    <row r="1047887" ht="10.5" customHeight="1"/>
    <row r="1047888" ht="10.5" customHeight="1"/>
    <row r="1047889" ht="10.5" customHeight="1"/>
    <row r="1047890" ht="10.5" customHeight="1"/>
    <row r="1047891" ht="10.5" customHeight="1"/>
    <row r="1047892" ht="10.5" customHeight="1"/>
    <row r="1047893" ht="10.5" customHeight="1"/>
    <row r="1047894" ht="10.5" customHeight="1"/>
    <row r="1047895" ht="10.5" customHeight="1"/>
    <row r="1047896" ht="10.5" customHeight="1"/>
    <row r="1047897" ht="10.5" customHeight="1"/>
    <row r="1047898" ht="10.5" customHeight="1"/>
    <row r="1047899" ht="10.5" customHeight="1"/>
    <row r="1047900" ht="10.5" customHeight="1"/>
    <row r="1047901" ht="10.5" customHeight="1"/>
    <row r="1047902" ht="10.5" customHeight="1"/>
    <row r="1047903" ht="10.5" customHeight="1"/>
    <row r="1047904" ht="10.5" customHeight="1"/>
    <row r="1047905" ht="10.5" customHeight="1"/>
    <row r="1047906" ht="10.5" customHeight="1"/>
    <row r="1047907" ht="10.5" customHeight="1"/>
    <row r="1047908" ht="10.5" customHeight="1"/>
    <row r="1047909" ht="10.5" customHeight="1"/>
    <row r="1047910" ht="10.5" customHeight="1"/>
    <row r="1047911" ht="10.5" customHeight="1"/>
    <row r="1047912" ht="10.5" customHeight="1"/>
    <row r="1047913" ht="10.5" customHeight="1"/>
    <row r="1047914" ht="10.5" customHeight="1"/>
    <row r="1047915" ht="10.5" customHeight="1"/>
    <row r="1047916" ht="10.5" customHeight="1"/>
    <row r="1047917" ht="10.5" customHeight="1"/>
    <row r="1047918" ht="10.5" customHeight="1"/>
    <row r="1047919" ht="10.5" customHeight="1"/>
    <row r="1047920" ht="10.5" customHeight="1"/>
    <row r="1047921" ht="10.5" customHeight="1"/>
    <row r="1047922" ht="10.5" customHeight="1"/>
    <row r="1047923" ht="10.5" customHeight="1"/>
    <row r="1047924" ht="10.5" customHeight="1"/>
    <row r="1047925" ht="10.5" customHeight="1"/>
    <row r="1047926" ht="10.5" customHeight="1"/>
    <row r="1047927" ht="10.5" customHeight="1"/>
    <row r="1047928" ht="10.5" customHeight="1"/>
    <row r="1047929" ht="10.5" customHeight="1"/>
    <row r="1047930" ht="10.5" customHeight="1"/>
    <row r="1047931" ht="10.5" customHeight="1"/>
    <row r="1047932" ht="10.5" customHeight="1"/>
    <row r="1047933" ht="10.5" customHeight="1"/>
    <row r="1047934" ht="10.5" customHeight="1"/>
    <row r="1047935" ht="10.5" customHeight="1"/>
    <row r="1047936" ht="10.5" customHeight="1"/>
    <row r="1047937" ht="10.5" customHeight="1"/>
    <row r="1047938" ht="10.5" customHeight="1"/>
    <row r="1047939" ht="10.5" customHeight="1"/>
    <row r="1047940" ht="10.5" customHeight="1"/>
    <row r="1047941" ht="10.5" customHeight="1"/>
    <row r="1047942" ht="10.5" customHeight="1"/>
    <row r="1047943" ht="10.5" customHeight="1"/>
    <row r="1047944" ht="10.5" customHeight="1"/>
    <row r="1047945" ht="10.5" customHeight="1"/>
    <row r="1047946" ht="10.5" customHeight="1"/>
    <row r="1047947" ht="10.5" customHeight="1"/>
    <row r="1047948" ht="10.5" customHeight="1"/>
    <row r="1047949" ht="10.5" customHeight="1"/>
    <row r="1047950" ht="10.5" customHeight="1"/>
    <row r="1047951" ht="10.5" customHeight="1"/>
    <row r="1047952" ht="10.5" customHeight="1"/>
    <row r="1047953" ht="10.5" customHeight="1"/>
    <row r="1047954" ht="10.5" customHeight="1"/>
    <row r="1047955" ht="10.5" customHeight="1"/>
    <row r="1047956" ht="10.5" customHeight="1"/>
    <row r="1047957" ht="10.5" customHeight="1"/>
    <row r="1047958" ht="10.5" customHeight="1"/>
    <row r="1047959" ht="10.5" customHeight="1"/>
    <row r="1047960" ht="10.5" customHeight="1"/>
    <row r="1047961" ht="10.5" customHeight="1"/>
    <row r="1047962" ht="10.5" customHeight="1"/>
    <row r="1047963" ht="10.5" customHeight="1"/>
    <row r="1047964" ht="10.5" customHeight="1"/>
    <row r="1047965" ht="10.5" customHeight="1"/>
    <row r="1047966" ht="10.5" customHeight="1"/>
    <row r="1047967" ht="10.5" customHeight="1"/>
    <row r="1047968" ht="10.5" customHeight="1"/>
    <row r="1047969" ht="10.5" customHeight="1"/>
    <row r="1047970" ht="10.5" customHeight="1"/>
    <row r="1047971" ht="10.5" customHeight="1"/>
    <row r="1047972" ht="10.5" customHeight="1"/>
    <row r="1047973" ht="10.5" customHeight="1"/>
    <row r="1047974" ht="10.5" customHeight="1"/>
    <row r="1047975" ht="10.5" customHeight="1"/>
    <row r="1047976" ht="10.5" customHeight="1"/>
    <row r="1047977" ht="10.5" customHeight="1"/>
    <row r="1047978" ht="10.5" customHeight="1"/>
    <row r="1047979" ht="10.5" customHeight="1"/>
    <row r="1047980" ht="10.5" customHeight="1"/>
    <row r="1047981" ht="10.5" customHeight="1"/>
    <row r="1047982" ht="10.5" customHeight="1"/>
    <row r="1047983" ht="10.5" customHeight="1"/>
    <row r="1047984" ht="10.5" customHeight="1"/>
    <row r="1047985" ht="10.5" customHeight="1"/>
    <row r="1047986" ht="10.5" customHeight="1"/>
    <row r="1047987" ht="10.5" customHeight="1"/>
    <row r="1047988" ht="10.5" customHeight="1"/>
    <row r="1047989" ht="10.5" customHeight="1"/>
    <row r="1047990" ht="10.5" customHeight="1"/>
    <row r="1047991" ht="10.5" customHeight="1"/>
    <row r="1047992" ht="10.5" customHeight="1"/>
    <row r="1047993" ht="10.5" customHeight="1"/>
    <row r="1047994" ht="10.5" customHeight="1"/>
    <row r="1047995" ht="10.5" customHeight="1"/>
    <row r="1047996" ht="10.5" customHeight="1"/>
    <row r="1047997" ht="10.5" customHeight="1"/>
    <row r="1047998" ht="10.5" customHeight="1"/>
    <row r="1047999" ht="10.5" customHeight="1"/>
    <row r="1048000" ht="10.5" customHeight="1"/>
    <row r="1048001" ht="10.5" customHeight="1"/>
    <row r="1048002" ht="10.5" customHeight="1"/>
    <row r="1048003" ht="10.5" customHeight="1"/>
    <row r="1048004" ht="10.5" customHeight="1"/>
    <row r="1048005" ht="10.5" customHeight="1"/>
    <row r="1048006" ht="10.5" customHeight="1"/>
    <row r="1048007" ht="10.5" customHeight="1"/>
    <row r="1048008" ht="10.5" customHeight="1"/>
    <row r="1048009" ht="10.5" customHeight="1"/>
    <row r="1048010" ht="10.5" customHeight="1"/>
    <row r="1048011" ht="10.5" customHeight="1"/>
    <row r="1048012" ht="10.5" customHeight="1"/>
    <row r="1048013" ht="10.5" customHeight="1"/>
    <row r="1048014" ht="10.5" customHeight="1"/>
    <row r="1048015" ht="10.5" customHeight="1"/>
    <row r="1048016" ht="10.5" customHeight="1"/>
    <row r="1048017" ht="10.5" customHeight="1"/>
    <row r="1048018" ht="10.5" customHeight="1"/>
    <row r="1048019" ht="10.5" customHeight="1"/>
    <row r="1048020" ht="10.5" customHeight="1"/>
    <row r="1048021" ht="10.5" customHeight="1"/>
    <row r="1048022" ht="10.5" customHeight="1"/>
    <row r="1048023" ht="10.5" customHeight="1"/>
    <row r="1048024" ht="10.5" customHeight="1"/>
    <row r="1048025" ht="10.5" customHeight="1"/>
    <row r="1048026" ht="10.5" customHeight="1"/>
    <row r="1048027" ht="10.5" customHeight="1"/>
    <row r="1048028" ht="10.5" customHeight="1"/>
    <row r="1048029" ht="10.5" customHeight="1"/>
    <row r="1048030" ht="10.5" customHeight="1"/>
    <row r="1048031" ht="10.5" customHeight="1"/>
    <row r="1048032" ht="10.5" customHeight="1"/>
    <row r="1048033" ht="10.5" customHeight="1"/>
    <row r="1048034" ht="10.5" customHeight="1"/>
    <row r="1048035" ht="10.5" customHeight="1"/>
    <row r="1048036" ht="10.5" customHeight="1"/>
    <row r="1048037" ht="10.5" customHeight="1"/>
    <row r="1048038" ht="10.5" customHeight="1"/>
    <row r="1048039" ht="10.5" customHeight="1"/>
    <row r="1048040" ht="10.5" customHeight="1"/>
    <row r="1048041" ht="10.5" customHeight="1"/>
    <row r="1048042" ht="10.5" customHeight="1"/>
    <row r="1048043" ht="10.5" customHeight="1"/>
    <row r="1048044" ht="10.5" customHeight="1"/>
    <row r="1048045" ht="10.5" customHeight="1"/>
    <row r="1048046" ht="10.5" customHeight="1"/>
    <row r="1048047" ht="10.5" customHeight="1"/>
    <row r="1048048" ht="10.5" customHeight="1"/>
    <row r="1048049" ht="10.5" customHeight="1"/>
    <row r="1048050" ht="10.5" customHeight="1"/>
    <row r="1048051" ht="10.5" customHeight="1"/>
    <row r="1048052" ht="10.5" customHeight="1"/>
    <row r="1048053" ht="10.5" customHeight="1"/>
    <row r="1048054" ht="10.5" customHeight="1"/>
    <row r="1048055" ht="10.5" customHeight="1"/>
    <row r="1048056" ht="10.5" customHeight="1"/>
    <row r="1048057" ht="10.5" customHeight="1"/>
    <row r="1048058" ht="10.5" customHeight="1"/>
    <row r="1048059" ht="10.5" customHeight="1"/>
    <row r="1048060" ht="10.5" customHeight="1"/>
    <row r="1048061" ht="10.5" customHeight="1"/>
    <row r="1048062" ht="10.5" customHeight="1"/>
    <row r="1048063" ht="10.5" customHeight="1"/>
    <row r="1048064" ht="10.5" customHeight="1"/>
    <row r="1048065" ht="10.5" customHeight="1"/>
    <row r="1048066" ht="10.5" customHeight="1"/>
    <row r="1048067" ht="10.5" customHeight="1"/>
    <row r="1048068" ht="10.5" customHeight="1"/>
    <row r="1048069" ht="10.5" customHeight="1"/>
    <row r="1048070" ht="10.5" customHeight="1"/>
    <row r="1048071" ht="10.5" customHeight="1"/>
    <row r="1048072" ht="10.5" customHeight="1"/>
    <row r="1048073" ht="10.5" customHeight="1"/>
    <row r="1048074" ht="10.5" customHeight="1"/>
    <row r="1048075" ht="10.5" customHeight="1"/>
    <row r="1048076" ht="10.5" customHeight="1"/>
    <row r="1048077" ht="10.5" customHeight="1"/>
    <row r="1048078" ht="10.5" customHeight="1"/>
    <row r="1048079" ht="10.5" customHeight="1"/>
    <row r="1048080" ht="10.5" customHeight="1"/>
    <row r="1048081" ht="10.5" customHeight="1"/>
    <row r="1048082" ht="10.5" customHeight="1"/>
    <row r="1048083" ht="10.5" customHeight="1"/>
    <row r="1048084" ht="10.5" customHeight="1"/>
    <row r="1048085" ht="10.5" customHeight="1"/>
    <row r="1048086" ht="10.5" customHeight="1"/>
    <row r="1048087" ht="10.5" customHeight="1"/>
    <row r="1048088" ht="10.5" customHeight="1"/>
    <row r="1048089" ht="10.5" customHeight="1"/>
    <row r="1048090" ht="10.5" customHeight="1"/>
    <row r="1048091" ht="10.5" customHeight="1"/>
    <row r="1048092" ht="10.5" customHeight="1"/>
    <row r="1048093" ht="10.5" customHeight="1"/>
    <row r="1048094" ht="10.5" customHeight="1"/>
    <row r="1048095" ht="10.5" customHeight="1"/>
    <row r="1048096" ht="10.5" customHeight="1"/>
    <row r="1048097" ht="10.5" customHeight="1"/>
    <row r="1048098" ht="10.5" customHeight="1"/>
    <row r="1048099" ht="10.5" customHeight="1"/>
    <row r="1048100" ht="10.5" customHeight="1"/>
    <row r="1048101" ht="10.5" customHeight="1"/>
    <row r="1048102" ht="10.5" customHeight="1"/>
    <row r="1048103" ht="10.5" customHeight="1"/>
    <row r="1048104" ht="10.5" customHeight="1"/>
    <row r="1048105" ht="10.5" customHeight="1"/>
    <row r="1048106" ht="10.5" customHeight="1"/>
    <row r="1048107" ht="10.5" customHeight="1"/>
    <row r="1048108" ht="10.5" customHeight="1"/>
    <row r="1048109" ht="10.5" customHeight="1"/>
    <row r="1048110" ht="10.5" customHeight="1"/>
    <row r="1048111" ht="10.5" customHeight="1"/>
    <row r="1048112" ht="10.5" customHeight="1"/>
    <row r="1048113" ht="10.5" customHeight="1"/>
    <row r="1048114" ht="10.5" customHeight="1"/>
    <row r="1048115" ht="10.5" customHeight="1"/>
    <row r="1048116" ht="10.5" customHeight="1"/>
    <row r="1048117" ht="10.5" customHeight="1"/>
    <row r="1048118" ht="10.5" customHeight="1"/>
    <row r="1048119" ht="10.5" customHeight="1"/>
    <row r="1048120" ht="10.5" customHeight="1"/>
    <row r="1048121" ht="10.5" customHeight="1"/>
    <row r="1048122" ht="10.5" customHeight="1"/>
    <row r="1048123" ht="10.5" customHeight="1"/>
    <row r="1048124" ht="10.5" customHeight="1"/>
    <row r="1048125" ht="10.5" customHeight="1"/>
    <row r="1048126" ht="10.5" customHeight="1"/>
    <row r="1048127" ht="10.5" customHeight="1"/>
    <row r="1048128" ht="10.5" customHeight="1"/>
    <row r="1048129" ht="10.5" customHeight="1"/>
    <row r="1048130" ht="10.5" customHeight="1"/>
    <row r="1048131" ht="10.5" customHeight="1"/>
    <row r="1048132" ht="10.5" customHeight="1"/>
    <row r="1048133" ht="10.5" customHeight="1"/>
    <row r="1048134" ht="10.5" customHeight="1"/>
    <row r="1048135" ht="10.5" customHeight="1"/>
    <row r="1048136" ht="10.5" customHeight="1"/>
    <row r="1048137" ht="10.5" customHeight="1"/>
    <row r="1048138" ht="10.5" customHeight="1"/>
    <row r="1048139" ht="10.5" customHeight="1"/>
    <row r="1048140" ht="10.5" customHeight="1"/>
    <row r="1048141" ht="10.5" customHeight="1"/>
    <row r="1048142" ht="10.5" customHeight="1"/>
    <row r="1048143" ht="10.5" customHeight="1"/>
    <row r="1048144" ht="10.5" customHeight="1"/>
    <row r="1048145" ht="10.5" customHeight="1"/>
    <row r="1048146" ht="10.5" customHeight="1"/>
    <row r="1048147" ht="10.5" customHeight="1"/>
    <row r="1048148" ht="10.5" customHeight="1"/>
    <row r="1048149" ht="10.5" customHeight="1"/>
    <row r="1048150" ht="10.5" customHeight="1"/>
    <row r="1048151" ht="10.5" customHeight="1"/>
    <row r="1048152" ht="10.5" customHeight="1"/>
    <row r="1048153" ht="10.5" customHeight="1"/>
    <row r="1048154" ht="10.5" customHeight="1"/>
    <row r="1048155" ht="10.5" customHeight="1"/>
    <row r="1048156" ht="10.5" customHeight="1"/>
    <row r="1048157" ht="10.5" customHeight="1"/>
    <row r="1048158" ht="10.5" customHeight="1"/>
    <row r="1048159" ht="10.5" customHeight="1"/>
    <row r="1048160" ht="10.5" customHeight="1"/>
    <row r="1048161" ht="10.5" customHeight="1"/>
    <row r="1048162" ht="10.5" customHeight="1"/>
    <row r="1048163" ht="10.5" customHeight="1"/>
    <row r="1048164" ht="10.5" customHeight="1"/>
    <row r="1048165" ht="10.5" customHeight="1"/>
    <row r="1048166" ht="10.5" customHeight="1"/>
    <row r="1048167" ht="10.5" customHeight="1"/>
    <row r="1048168" ht="10.5" customHeight="1"/>
    <row r="1048169" ht="10.5" customHeight="1"/>
    <row r="1048170" ht="10.5" customHeight="1"/>
    <row r="1048171" ht="10.5" customHeight="1"/>
    <row r="1048172" ht="10.5" customHeight="1"/>
    <row r="1048173" ht="10.5" customHeight="1"/>
    <row r="1048174" ht="10.5" customHeight="1"/>
    <row r="1048175" ht="10.5" customHeight="1"/>
    <row r="1048176" ht="10.5" customHeight="1"/>
    <row r="1048177" ht="10.5" customHeight="1"/>
    <row r="1048178" ht="10.5" customHeight="1"/>
    <row r="1048179" ht="10.5" customHeight="1"/>
    <row r="1048180" ht="10.5" customHeight="1"/>
    <row r="1048181" ht="10.5" customHeight="1"/>
    <row r="1048182" ht="10.5" customHeight="1"/>
    <row r="1048183" ht="10.5" customHeight="1"/>
    <row r="1048184" ht="10.5" customHeight="1"/>
    <row r="1048185" ht="10.5" customHeight="1"/>
    <row r="1048186" ht="10.5" customHeight="1"/>
    <row r="1048187" ht="10.5" customHeight="1"/>
    <row r="1048188" ht="10.5" customHeight="1"/>
    <row r="1048189" ht="10.5" customHeight="1"/>
    <row r="1048190" ht="10.5" customHeight="1"/>
    <row r="1048191" ht="10.5" customHeight="1"/>
    <row r="1048192" ht="10.5" customHeight="1"/>
    <row r="1048193" ht="10.5" customHeight="1"/>
    <row r="1048194" ht="10.5" customHeight="1"/>
    <row r="1048195" ht="10.5" customHeight="1"/>
    <row r="1048196" ht="10.5" customHeight="1"/>
    <row r="1048197" ht="10.5" customHeight="1"/>
    <row r="1048198" ht="10.5" customHeight="1"/>
    <row r="1048199" ht="10.5" customHeight="1"/>
    <row r="1048200" ht="10.5" customHeight="1"/>
    <row r="1048201" ht="10.5" customHeight="1"/>
    <row r="1048202" ht="10.5" customHeight="1"/>
    <row r="1048203" ht="10.5" customHeight="1"/>
    <row r="1048204" ht="10.5" customHeight="1"/>
    <row r="1048205" ht="10.5" customHeight="1"/>
    <row r="1048206" ht="10.5" customHeight="1"/>
    <row r="1048207" ht="10.5" customHeight="1"/>
    <row r="1048208" ht="10.5" customHeight="1"/>
    <row r="1048209" ht="10.5" customHeight="1"/>
    <row r="1048210" ht="10.5" customHeight="1"/>
    <row r="1048211" ht="10.5" customHeight="1"/>
    <row r="1048212" ht="10.5" customHeight="1"/>
    <row r="1048213" ht="10.5" customHeight="1"/>
    <row r="1048214" ht="10.5" customHeight="1"/>
    <row r="1048215" ht="10.5" customHeight="1"/>
    <row r="1048216" ht="10.5" customHeight="1"/>
    <row r="1048217" ht="10.5" customHeight="1"/>
    <row r="1048218" ht="10.5" customHeight="1"/>
    <row r="1048219" ht="10.5" customHeight="1"/>
    <row r="1048220" ht="10.5" customHeight="1"/>
    <row r="1048221" ht="10.5" customHeight="1"/>
    <row r="1048222" ht="10.5" customHeight="1"/>
    <row r="1048223" ht="10.5" customHeight="1"/>
    <row r="1048224" ht="10.5" customHeight="1"/>
    <row r="1048225" ht="10.5" customHeight="1"/>
    <row r="1048226" ht="10.5" customHeight="1"/>
    <row r="1048227" ht="10.5" customHeight="1"/>
    <row r="1048228" ht="10.5" customHeight="1"/>
    <row r="1048229" ht="10.5" customHeight="1"/>
    <row r="1048230" ht="10.5" customHeight="1"/>
    <row r="1048231" ht="10.5" customHeight="1"/>
    <row r="1048232" ht="10.5" customHeight="1"/>
    <row r="1048233" ht="10.5" customHeight="1"/>
    <row r="1048234" ht="10.5" customHeight="1"/>
    <row r="1048235" ht="10.5" customHeight="1"/>
    <row r="1048236" ht="10.5" customHeight="1"/>
    <row r="1048237" ht="10.5" customHeight="1"/>
    <row r="1048238" ht="10.5" customHeight="1"/>
    <row r="1048239" ht="10.5" customHeight="1"/>
    <row r="1048240" ht="10.5" customHeight="1"/>
    <row r="1048241" ht="10.5" customHeight="1"/>
    <row r="1048242" ht="10.5" customHeight="1"/>
    <row r="1048243" ht="10.5" customHeight="1"/>
    <row r="1048244" ht="10.5" customHeight="1"/>
    <row r="1048245" ht="10.5" customHeight="1"/>
    <row r="1048246" ht="10.5" customHeight="1"/>
    <row r="1048247" ht="10.5" customHeight="1"/>
    <row r="1048248" ht="10.5" customHeight="1"/>
    <row r="1048249" ht="10.5" customHeight="1"/>
    <row r="1048250" ht="10.5" customHeight="1"/>
    <row r="1048251" ht="10.5" customHeight="1"/>
    <row r="1048252" ht="10.5" customHeight="1"/>
    <row r="1048253" ht="10.5" customHeight="1"/>
    <row r="1048254" ht="10.5" customHeight="1"/>
    <row r="1048255" ht="10.5" customHeight="1"/>
    <row r="1048256" ht="10.5" customHeight="1"/>
    <row r="1048257" ht="10.5" customHeight="1"/>
    <row r="1048258" ht="10.5" customHeight="1"/>
    <row r="1048259" ht="10.5" customHeight="1"/>
    <row r="1048260" ht="10.5" customHeight="1"/>
    <row r="1048261" ht="10.5" customHeight="1"/>
    <row r="1048262" ht="10.5" customHeight="1"/>
    <row r="1048263" ht="10.5" customHeight="1"/>
    <row r="1048264" ht="10.5" customHeight="1"/>
    <row r="1048265" ht="10.5" customHeight="1"/>
    <row r="1048266" ht="10.5" customHeight="1"/>
    <row r="1048267" ht="10.5" customHeight="1"/>
    <row r="1048268" ht="10.5" customHeight="1"/>
    <row r="1048269" ht="10.5" customHeight="1"/>
    <row r="1048270" ht="10.5" customHeight="1"/>
    <row r="1048271" ht="10.5" customHeight="1"/>
    <row r="1048272" ht="10.5" customHeight="1"/>
    <row r="1048273" ht="10.5" customHeight="1"/>
    <row r="1048274" ht="10.5" customHeight="1"/>
    <row r="1048275" ht="10.5" customHeight="1"/>
    <row r="1048276" ht="10.5" customHeight="1"/>
    <row r="1048277" ht="10.5" customHeight="1"/>
    <row r="1048278" ht="10.5" customHeight="1"/>
    <row r="1048279" ht="10.5" customHeight="1"/>
    <row r="1048280" ht="10.5" customHeight="1"/>
    <row r="1048281" ht="10.5" customHeight="1"/>
    <row r="1048282" ht="10.5" customHeight="1"/>
    <row r="1048283" ht="10.5" customHeight="1"/>
    <row r="1048284" ht="10.5" customHeight="1"/>
    <row r="1048285" ht="10.5" customHeight="1"/>
    <row r="1048286" ht="10.5" customHeight="1"/>
    <row r="1048287" ht="10.5" customHeight="1"/>
    <row r="1048288" ht="10.5" customHeight="1"/>
    <row r="1048289" ht="10.5" customHeight="1"/>
    <row r="1048290" ht="10.5" customHeight="1"/>
    <row r="1048291" ht="10.5" customHeight="1"/>
    <row r="1048292" ht="10.5" customHeight="1"/>
    <row r="1048293" ht="10.5" customHeight="1"/>
    <row r="1048294" ht="10.5" customHeight="1"/>
    <row r="1048295" ht="10.5" customHeight="1"/>
    <row r="1048296" ht="10.5" customHeight="1"/>
    <row r="1048297" ht="10.5" customHeight="1"/>
    <row r="1048298" ht="10.5" customHeight="1"/>
    <row r="1048299" ht="10.5" customHeight="1"/>
    <row r="1048300" ht="10.5" customHeight="1"/>
    <row r="1048301" ht="10.5" customHeight="1"/>
    <row r="1048302" ht="10.5" customHeight="1"/>
    <row r="1048303" ht="10.5" customHeight="1"/>
    <row r="1048304" ht="10.5" customHeight="1"/>
    <row r="1048305" ht="10.5" customHeight="1"/>
    <row r="1048306" ht="10.5" customHeight="1"/>
    <row r="1048307" ht="10.5" customHeight="1"/>
    <row r="1048308" ht="10.5" customHeight="1"/>
    <row r="1048309" ht="10.5" customHeight="1"/>
    <row r="1048310" ht="10.5" customHeight="1"/>
    <row r="1048311" ht="10.5" customHeight="1"/>
    <row r="1048312" ht="10.5" customHeight="1"/>
    <row r="1048313" ht="10.5" customHeight="1"/>
    <row r="1048314" ht="10.5" customHeight="1"/>
    <row r="1048315" ht="10.5" customHeight="1"/>
    <row r="1048316" ht="10.5" customHeight="1"/>
    <row r="1048317" ht="10.5" customHeight="1"/>
    <row r="1048318" ht="10.5" customHeight="1"/>
    <row r="1048319" ht="10.5" customHeight="1"/>
    <row r="1048320" ht="10.5" customHeight="1"/>
    <row r="1048321" ht="10.5" customHeight="1"/>
    <row r="1048322" ht="10.5" customHeight="1"/>
    <row r="1048323" ht="10.5" customHeight="1"/>
    <row r="1048324" ht="10.5" customHeight="1"/>
    <row r="1048325" ht="10.5" customHeight="1"/>
    <row r="1048326" ht="10.5" customHeight="1"/>
    <row r="1048327" ht="10.5" customHeight="1"/>
    <row r="1048328" ht="10.5" customHeight="1"/>
    <row r="1048329" ht="10.5" customHeight="1"/>
    <row r="1048330" ht="10.5" customHeight="1"/>
    <row r="1048331" ht="10.5" customHeight="1"/>
    <row r="1048332" ht="10.5" customHeight="1"/>
    <row r="1048333" ht="10.5" customHeight="1"/>
    <row r="1048334" ht="10.5" customHeight="1"/>
    <row r="1048335" ht="10.5" customHeight="1"/>
    <row r="1048336" ht="10.5" customHeight="1"/>
    <row r="1048337" ht="10.5" customHeight="1"/>
    <row r="1048338" ht="10.5" customHeight="1"/>
    <row r="1048339" ht="10.5" customHeight="1"/>
    <row r="1048340" ht="10.5" customHeight="1"/>
    <row r="1048341" ht="10.5" customHeight="1"/>
    <row r="1048342" ht="10.5" customHeight="1"/>
    <row r="1048343" ht="10.5" customHeight="1"/>
    <row r="1048344" ht="10.5" customHeight="1"/>
    <row r="1048345" ht="10.5" customHeight="1"/>
    <row r="1048346" ht="10.5" customHeight="1"/>
    <row r="1048347" ht="10.5" customHeight="1"/>
    <row r="1048348" ht="10.5" customHeight="1"/>
    <row r="1048349" ht="10.5" customHeight="1"/>
    <row r="1048350" ht="10.5" customHeight="1"/>
    <row r="1048351" ht="10.5" customHeight="1"/>
    <row r="1048352" ht="10.5" customHeight="1"/>
    <row r="1048353" ht="10.5" customHeight="1"/>
    <row r="1048354" ht="10.5" customHeight="1"/>
    <row r="1048355" ht="10.5" customHeight="1"/>
    <row r="1048356" ht="10.5" customHeight="1"/>
    <row r="1048357" ht="10.5" customHeight="1"/>
    <row r="1048358" ht="10.5" customHeight="1"/>
    <row r="1048359" ht="10.5" customHeight="1"/>
    <row r="1048360" ht="10.5" customHeight="1"/>
    <row r="1048361" ht="10.5" customHeight="1"/>
    <row r="1048362" ht="10.5" customHeight="1"/>
    <row r="1048363" ht="10.5" customHeight="1"/>
    <row r="1048364" ht="10.5" customHeight="1"/>
    <row r="1048365" ht="10.5" customHeight="1"/>
    <row r="1048366" ht="10.5" customHeight="1"/>
    <row r="1048367" ht="10.5" customHeight="1"/>
    <row r="1048368" ht="10.5" customHeight="1"/>
    <row r="1048369" ht="10.5" customHeight="1"/>
    <row r="1048370" ht="10.5" customHeight="1"/>
    <row r="1048371" ht="10.5" customHeight="1"/>
    <row r="1048372" ht="10.5" customHeight="1"/>
    <row r="1048373" ht="10.5" customHeight="1"/>
    <row r="1048374" ht="10.5" customHeight="1"/>
    <row r="1048375" ht="10.5" customHeight="1"/>
    <row r="1048376" ht="10.5" customHeight="1"/>
    <row r="1048377" ht="10.5" customHeight="1"/>
    <row r="1048378" ht="10.5" customHeight="1"/>
    <row r="1048379" ht="10.5" customHeight="1"/>
    <row r="1048380" ht="10.5" customHeight="1"/>
    <row r="1048381" ht="10.5" customHeight="1"/>
    <row r="1048382" ht="10.5" customHeight="1"/>
    <row r="1048383" ht="10.5" customHeight="1"/>
    <row r="1048384" ht="10.5" customHeight="1"/>
    <row r="1048385" ht="10.5" customHeight="1"/>
    <row r="1048386" ht="10.5" customHeight="1"/>
    <row r="1048387" ht="10.5" customHeight="1"/>
    <row r="1048388" ht="10.5" customHeight="1"/>
    <row r="1048389" ht="10.5" customHeight="1"/>
    <row r="1048390" ht="10.5" customHeight="1"/>
    <row r="1048391" ht="10.5" customHeight="1"/>
    <row r="1048392" ht="10.5" customHeight="1"/>
    <row r="1048393" ht="10.5" customHeight="1"/>
    <row r="1048394" ht="10.5" customHeight="1"/>
    <row r="1048395" ht="10.5" customHeight="1"/>
    <row r="1048396" ht="10.5" customHeight="1"/>
    <row r="1048397" ht="10.5" customHeight="1"/>
    <row r="1048398" ht="10.5" customHeight="1"/>
    <row r="1048399" ht="10.5" customHeight="1"/>
    <row r="1048400" ht="10.5" customHeight="1"/>
    <row r="1048401" ht="10.5" customHeight="1"/>
    <row r="1048402" ht="10.5" customHeight="1"/>
    <row r="1048403" ht="10.5" customHeight="1"/>
    <row r="1048404" ht="10.5" customHeight="1"/>
    <row r="1048405" ht="10.5" customHeight="1"/>
    <row r="1048406" ht="10.5" customHeight="1"/>
    <row r="1048407" ht="10.5" customHeight="1"/>
    <row r="1048408" ht="10.5" customHeight="1"/>
    <row r="1048409" ht="10.5" customHeight="1"/>
    <row r="1048410" ht="10.5" customHeight="1"/>
    <row r="1048411" ht="10.5" customHeight="1"/>
    <row r="1048412" ht="10.5" customHeight="1"/>
    <row r="1048413" ht="10.5" customHeight="1"/>
    <row r="1048414" ht="10.5" customHeight="1"/>
    <row r="1048415" ht="10.5" customHeight="1"/>
    <row r="1048416" ht="10.5" customHeight="1"/>
    <row r="1048417" ht="10.5" customHeight="1"/>
    <row r="1048418" ht="10.5" customHeight="1"/>
    <row r="1048419" ht="10.5" customHeight="1"/>
    <row r="1048420" ht="10.5" customHeight="1"/>
    <row r="1048421" ht="10.5" customHeight="1"/>
    <row r="1048422" ht="10.5" customHeight="1"/>
    <row r="1048423" ht="10.5" customHeight="1"/>
    <row r="1048424" ht="10.5" customHeight="1"/>
    <row r="1048425" ht="10.5" customHeight="1"/>
    <row r="1048426" ht="10.5" customHeight="1"/>
    <row r="1048427" ht="10.5" customHeight="1"/>
    <row r="1048428" ht="10.5" customHeight="1"/>
    <row r="1048429" ht="10.5" customHeight="1"/>
    <row r="1048430" ht="10.5" customHeight="1"/>
    <row r="1048431" ht="10.5" customHeight="1"/>
    <row r="1048432" ht="10.5" customHeight="1"/>
    <row r="1048433" ht="10.5" customHeight="1"/>
    <row r="1048434" ht="10.5" customHeight="1"/>
    <row r="1048435" ht="10.5" customHeight="1"/>
    <row r="1048436" ht="10.5" customHeight="1"/>
    <row r="1048437" ht="10.5" customHeight="1"/>
    <row r="1048438" ht="10.5" customHeight="1"/>
    <row r="1048439" ht="10.5" customHeight="1"/>
    <row r="1048440" ht="10.5" customHeight="1"/>
    <row r="1048441" ht="10.5" customHeight="1"/>
    <row r="1048442" ht="10.5" customHeight="1"/>
    <row r="1048443" ht="10.5" customHeight="1"/>
    <row r="1048444" ht="10.5" customHeight="1"/>
    <row r="1048445" ht="10.5" customHeight="1"/>
    <row r="1048446" ht="10.5" customHeight="1"/>
    <row r="1048447" ht="10.5" customHeight="1"/>
    <row r="1048448" ht="10.5" customHeight="1"/>
    <row r="1048449" ht="10.5" customHeight="1"/>
    <row r="1048450" ht="10.5" customHeight="1"/>
    <row r="1048451" ht="10.5" customHeight="1"/>
    <row r="1048452" ht="10.5" customHeight="1"/>
    <row r="1048453" ht="10.5" customHeight="1"/>
    <row r="1048454" ht="10.5" customHeight="1"/>
    <row r="1048455" ht="10.5" customHeight="1"/>
    <row r="1048456" ht="10.5" customHeight="1"/>
    <row r="1048457" ht="10.5" customHeight="1"/>
    <row r="1048458" ht="10.5" customHeight="1"/>
    <row r="1048459" ht="10.5" customHeight="1"/>
    <row r="1048460" ht="10.5" customHeight="1"/>
    <row r="1048461" ht="10.5" customHeight="1"/>
    <row r="1048462" ht="10.5" customHeight="1"/>
    <row r="1048463" ht="10.5" customHeight="1"/>
    <row r="1048464" ht="10.5" customHeight="1"/>
    <row r="1048465" ht="10.5" customHeight="1"/>
    <row r="1048466" ht="10.5" customHeight="1"/>
    <row r="1048467" ht="10.5" customHeight="1"/>
    <row r="1048468" ht="10.5" customHeight="1"/>
    <row r="1048469" ht="10.5" customHeight="1"/>
    <row r="1048470" ht="10.5" customHeight="1"/>
    <row r="1048471" ht="10.5" customHeight="1"/>
    <row r="1048472" ht="10.5" customHeight="1"/>
    <row r="1048473" ht="10.5" customHeight="1"/>
    <row r="1048474" ht="10.5" customHeight="1"/>
    <row r="1048475" ht="10.5" customHeight="1"/>
    <row r="1048476" ht="10.5" customHeight="1"/>
    <row r="1048477" ht="10.5" customHeight="1"/>
    <row r="1048478" ht="10.5" customHeight="1"/>
    <row r="1048479" ht="10.5" customHeight="1"/>
    <row r="1048480" ht="10.5" customHeight="1"/>
    <row r="1048481" ht="10.5" customHeight="1"/>
    <row r="1048482" ht="10.5" customHeight="1"/>
    <row r="1048483" ht="10.5" customHeight="1"/>
    <row r="1048484" ht="10.5" customHeight="1"/>
    <row r="1048485" ht="10.5" customHeight="1"/>
    <row r="1048486" ht="10.5" customHeight="1"/>
    <row r="1048487" ht="10.5" customHeight="1"/>
    <row r="1048488" ht="10.5" customHeight="1"/>
    <row r="1048489" ht="10.5" customHeight="1"/>
    <row r="1048490" ht="10.5" customHeight="1"/>
    <row r="1048491" ht="10.5" customHeight="1"/>
    <row r="1048492" ht="10.5" customHeight="1"/>
    <row r="1048493" ht="10.5" customHeight="1"/>
    <row r="1048494" ht="10.5" customHeight="1"/>
    <row r="1048495" ht="10.5" customHeight="1"/>
    <row r="1048496" ht="10.5" customHeight="1"/>
    <row r="1048497" ht="10.5" customHeight="1"/>
    <row r="1048498" ht="10.5" customHeight="1"/>
    <row r="1048499" ht="10.5" customHeight="1"/>
    <row r="1048500" ht="10.5" customHeight="1"/>
    <row r="1048501" ht="10.5" customHeight="1"/>
    <row r="1048502" ht="10.5" customHeight="1"/>
    <row r="1048503" ht="10.5" customHeight="1"/>
    <row r="1048504" ht="10.5" customHeight="1"/>
    <row r="1048505" ht="10.5" customHeight="1"/>
    <row r="1048506" ht="10.5" customHeight="1"/>
    <row r="1048507" ht="10.5" customHeight="1"/>
    <row r="1048508" ht="10.5" customHeight="1"/>
    <row r="1048509" ht="10.5" customHeight="1"/>
    <row r="1048510" ht="10.5" customHeight="1"/>
    <row r="1048511" ht="10.5" customHeight="1"/>
    <row r="1048512" ht="10.5" customHeight="1"/>
    <row r="1048513" ht="10.5" customHeight="1"/>
    <row r="1048514" ht="10.5" customHeight="1"/>
    <row r="1048515" ht="10.5" customHeight="1"/>
    <row r="1048516" ht="10.5" customHeight="1"/>
    <row r="1048517" ht="10.5" customHeight="1"/>
    <row r="1048518" ht="10.5" customHeight="1"/>
    <row r="1048519" ht="10.5" customHeight="1"/>
    <row r="1048520" ht="10.5" customHeight="1"/>
    <row r="1048521" ht="10.5" customHeight="1"/>
    <row r="1048522" ht="10.5" customHeight="1"/>
    <row r="1048523" ht="10.5" customHeight="1"/>
    <row r="1048524" ht="10.5" customHeight="1"/>
    <row r="1048525" ht="10.5" customHeight="1"/>
    <row r="1048526" ht="10.5" customHeight="1"/>
    <row r="1048527" ht="10.5" customHeight="1"/>
    <row r="1048528" ht="10.5" customHeight="1"/>
    <row r="1048529" ht="10.5" customHeight="1"/>
    <row r="1048530" ht="10.5" customHeight="1"/>
    <row r="1048531" ht="10.5" customHeight="1"/>
    <row r="1048532" ht="10.5" customHeight="1"/>
    <row r="1048533" ht="10.5" customHeight="1"/>
    <row r="1048534" ht="10.5" customHeight="1"/>
    <row r="1048535" ht="10.5" customHeight="1"/>
    <row r="1048536" ht="10.5" customHeight="1"/>
    <row r="1048537" ht="10.5" customHeight="1"/>
    <row r="1048538" ht="10.5" customHeight="1"/>
    <row r="1048539" ht="10.5" customHeight="1"/>
    <row r="1048540" ht="10.5" customHeight="1"/>
    <row r="1048541" ht="10.5" customHeight="1"/>
    <row r="1048542" ht="10.5" customHeight="1"/>
    <row r="1048543" ht="10.5" customHeight="1"/>
    <row r="1048544" ht="10.5" customHeight="1"/>
    <row r="1048545" ht="10.5" customHeight="1"/>
    <row r="1048546" ht="10.5" customHeight="1"/>
    <row r="1048547" ht="10.5" customHeight="1"/>
    <row r="1048548" ht="10.5" customHeight="1"/>
    <row r="1048549" ht="10.5" customHeight="1"/>
    <row r="1048550" ht="10.5" customHeight="1"/>
    <row r="1048551" ht="10.5" customHeight="1"/>
    <row r="1048552" ht="10.5" customHeight="1"/>
    <row r="1048553" ht="10.5" customHeight="1"/>
    <row r="1048554" ht="10.5" customHeight="1"/>
    <row r="1048555" ht="10.5" customHeight="1"/>
    <row r="1048556" ht="10.5" customHeight="1"/>
    <row r="1048557" ht="10.5" customHeight="1"/>
    <row r="1048558" ht="10.5" customHeight="1"/>
    <row r="1048559" ht="10.5" customHeight="1"/>
    <row r="1048560" ht="10.5" customHeight="1"/>
    <row r="1048561" ht="10.5" customHeight="1"/>
    <row r="1048562" ht="10.5" customHeight="1"/>
    <row r="1048563" ht="10.5" customHeight="1"/>
    <row r="1048564" ht="10.5" customHeight="1"/>
    <row r="1048565" ht="10.5" customHeight="1"/>
    <row r="1048566" ht="10.5" customHeight="1"/>
    <row r="1048567" ht="10.5" customHeight="1"/>
    <row r="1048568" ht="10.5" customHeight="1"/>
    <row r="1048569" ht="10.5" customHeight="1"/>
    <row r="1048570" ht="10.5" customHeight="1"/>
    <row r="1048571" ht="10.5" customHeight="1"/>
    <row r="1048572" ht="10.5" customHeight="1"/>
    <row r="1048573" ht="10.5" customHeight="1"/>
    <row r="1048574" ht="10.5" customHeight="1"/>
    <row r="1048575" ht="10.5" customHeight="1"/>
    <row r="1048576" ht="10.5" customHeight="1"/>
  </sheetData>
  <mergeCells count="13">
    <mergeCell ref="N17:O17"/>
    <mergeCell ref="AG20:AG21"/>
    <mergeCell ref="N15:O15"/>
    <mergeCell ref="H20:L20"/>
    <mergeCell ref="Q20:R20"/>
    <mergeCell ref="N16:O16"/>
    <mergeCell ref="B8:R9"/>
    <mergeCell ref="N18:O18"/>
    <mergeCell ref="Q18:R18"/>
    <mergeCell ref="Q19:R19"/>
    <mergeCell ref="AK21:AM21"/>
    <mergeCell ref="N14:O14"/>
    <mergeCell ref="AF20:AF21"/>
  </mergeCells>
  <printOptions horizontalCentered="1"/>
  <pageMargins left="0.118055555555556" right="0.118055555555556" top="0.07847222222222219" bottom="0.315277777777778" header="0.511811023622047" footer="0.0395833333333333"/>
  <pageSetup orientation="portrait" paperSize="9" scale="57" fitToHeight="0" horizontalDpi="300" verticalDpi="300"/>
  <headerFooter>
    <oddHeader/>
    <oddFooter>&amp;CPage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Denys Kovtunovych</dc:creator>
  <dcterms:created xmlns:dcterms="http://purl.org/dc/terms/" xmlns:xsi="http://www.w3.org/2001/XMLSchema-instance" xsi:type="dcterms:W3CDTF">2026-06-10T11:38:57Z</dcterms:created>
  <dcterms:modified xmlns:dcterms="http://purl.org/dc/terms/" xmlns:xsi="http://www.w3.org/2001/XMLSchema-instance" xsi:type="dcterms:W3CDTF">2026-06-29T22:38:42Z</dcterms:modified>
  <cp:lastModifiedBy>Denys Kovtunovych</cp:lastModifiedBy>
</cp:coreProperties>
</file>